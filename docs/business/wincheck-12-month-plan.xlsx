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></Relationship></Relationships>
</file>

<file path=xl/workbook.xml><?xml version="1.0" encoding="utf-8"?>
<workbook xmlns="http://schemas.openxmlformats.org/spreadsheetml/2006/main" xmlns:r="http://schemas.openxmlformats.org/officeDocument/2006/relationships">
  <workbookPr date1904="0"/>
  <sheets>
    <sheet name="Pricing and operating assumptio" sheetId="1" r:id="rId1"/>
    <sheet name="Monthly operating and hiring fo" sheetId="2" r:id="rId2"/>
    <sheet name="Scenario comparison" sheetId="3" r:id="rId3"/>
    <sheet name="Pricing and early-hire stress t" sheetId="4" r:id="rId4"/>
    <sheet name="Model inputs" sheetId="5" r:id="rId5"/>
  </sheets>
  <calcPr calcMode="auto" fullCalcOnLoad="1" forceFullCalc="1"/>
</workbook>
</file>

<file path=xl/styles.xml><?xml version="1.0" encoding="utf-8"?>
<styleSheet xmlns="http://schemas.openxmlformats.org/spreadsheetml/2006/main">
  <numFmts count="7">
    <numFmt numFmtId="164" formatCode="#,##0;(#,##0)"/>
    <numFmt numFmtId="165" formatCode="#,##0.00;(#,##0.00)"/>
    <numFmt numFmtId="166" formatCode="0%"/>
    <numFmt numFmtId="167" formatCode="&quot;$&quot;#,##0;(&quot;$&quot;#,##0)"/>
    <numFmt numFmtId="168" formatCode="0.0%"/>
    <numFmt numFmtId="169" formatCode="&quot;$&quot;#,##0.00;(&quot;$&quot;#,##0.00)"/>
    <numFmt numFmtId="170" formatCode="#,##0.###;(#,##0.###)"/>
  </numFmts>
  <fonts count="4">
    <font>
      <sz val="10"/>
      <color rgb="FF352F29"/>
      <name val="Aptos"/>
    </font>
    <font>
      <b/>
      <sz val="16"/>
      <color rgb="FFFFFFFF"/>
      <name val="Aptos"/>
    </font>
    <font>
      <sz val="9"/>
      <color rgb="FF817B73"/>
      <name val="Aptos"/>
    </font>
    <font>
      <b/>
      <sz val="10"/>
      <color rgb="FF352F29"/>
      <name val="Aptos"/>
    </font>
  </fonts>
  <fills count="7">
    <fill>
      <patternFill patternType="none"/>
    </fill>
    <fill>
      <patternFill patternType="gray125"/>
    </fill>
    <fill>
      <patternFill patternType="solid">
        <fgColor rgb="FF352F29"/>
        <bgColor indexed="64"/>
      </patternFill>
    </fill>
    <fill>
      <patternFill patternType="solid">
        <fgColor rgb="FFF0EDE8"/>
        <bgColor indexed="64"/>
      </patternFill>
    </fill>
    <fill>
      <patternFill patternType="solid">
        <fgColor rgb="FFF5F2EC"/>
        <bgColor indexed="64"/>
      </patternFill>
    </fill>
    <fill>
      <patternFill patternType="solid">
        <fgColor rgb="FFE6E0D7"/>
        <bgColor indexed="64"/>
      </patternFill>
    </fill>
    <fill>
      <patternFill patternType="solid">
        <fgColor rgb="FFF7F9FC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E7E3DD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2" borderId="0" xfId="0" applyFill="1" applyFont="1" applyAlignment="1">
      <alignment vertical="center" horizontal="left" indent="1"/>
    </xf>
    <xf numFmtId="0" fontId="2" fillId="0" borderId="0" xfId="0" applyFont="1"/>
    <xf numFmtId="0" fontId="3" fillId="3" borderId="1" xfId="0" applyFill="1" applyFont="1" applyBorder="1" applyAlignment="1">
      <alignment vertical="center" horizontal="left"/>
    </xf>
    <xf numFmtId="0" fontId="3" fillId="3" borderId="1" xfId="0" applyFill="1" applyFont="1" applyBorder="1" applyAlignment="1">
      <alignment vertical="center" horizontal="right"/>
    </xf>
    <xf numFmtId="0" fontId="3" fillId="4" borderId="1" xfId="0" applyFill="1" applyFont="1" applyBorder="1" applyAlignment="1">
      <alignment vertical="center" horizontal="left"/>
    </xf>
    <xf numFmtId="164" fontId="3" fillId="4" borderId="1" xfId="0" applyNumberFormat="1" applyFill="1" applyFont="1" applyBorder="1" applyAlignment="1">
      <alignment vertical="center" horizontal="right"/>
    </xf>
    <xf numFmtId="0" fontId="0" fillId="0" borderId="0" xfId="0" applyAlignment="1">
      <alignment vertical="center" horizontal="left"/>
    </xf>
    <xf numFmtId="164" fontId="0" fillId="0" borderId="0" xfId="0" applyNumberFormat="1" applyAlignment="1">
      <alignment vertical="center" horizontal="right"/>
    </xf>
    <xf numFmtId="165" fontId="0" fillId="0" borderId="0" xfId="0" applyNumberFormat="1" applyAlignment="1">
      <alignment vertical="center" horizontal="right"/>
    </xf>
    <xf numFmtId="166" fontId="0" fillId="0" borderId="0" xfId="0" applyNumberFormat="1" applyAlignment="1">
      <alignment vertical="center" horizontal="right"/>
    </xf>
    <xf numFmtId="0" fontId="3" fillId="5" borderId="1" xfId="0" applyFill="1" applyFont="1" applyBorder="1" applyAlignment="1">
      <alignment vertical="center" horizontal="right"/>
    </xf>
    <xf numFmtId="167" fontId="0" fillId="0" borderId="0" xfId="0" applyNumberFormat="1" applyAlignment="1">
      <alignment vertical="center" horizontal="right"/>
    </xf>
    <xf numFmtId="168" fontId="0" fillId="0" borderId="0" xfId="0" applyNumberFormat="1" applyAlignment="1">
      <alignment vertical="center" horizontal="right"/>
    </xf>
    <xf numFmtId="168" fontId="3" fillId="4" borderId="1" xfId="0" applyNumberFormat="1" applyFill="1" applyFont="1" applyBorder="1" applyAlignment="1">
      <alignment vertical="center" horizontal="right"/>
    </xf>
    <xf numFmtId="169" fontId="0" fillId="0" borderId="0" xfId="0" applyNumberFormat="1" applyAlignment="1">
      <alignment vertical="center" horizontal="right"/>
    </xf>
    <xf numFmtId="169" fontId="3" fillId="4" borderId="1" xfId="0" applyNumberFormat="1" applyFill="1" applyFont="1" applyBorder="1" applyAlignment="1">
      <alignment vertical="center" horizontal="right"/>
    </xf>
    <xf numFmtId="167" fontId="3" fillId="4" borderId="1" xfId="0" applyNumberFormat="1" applyFill="1" applyFont="1" applyBorder="1" applyAlignment="1">
      <alignment vertical="center" horizontal="right"/>
    </xf>
    <xf numFmtId="0" fontId="3" fillId="4" borderId="1" xfId="0" applyFill="1" applyFont="1" applyBorder="1"/>
    <xf numFmtId="0" fontId="3" fillId="6" borderId="0" xfId="0" applyFill="1" applyFont="1" applyAlignment="1">
      <alignment vertical="center" horizontal="left"/>
    </xf>
    <xf numFmtId="170" fontId="0" fillId="0" borderId="0" xfId="0" applyNumberFormat="1" applyAlignment="1">
      <alignment vertical="center" horizontal="right"/>
    </xf>
  </cellXfs>
  <cellStyles count="1">
    <cellStyle name="Normal" xfId="0" builtinId="0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worksheet" Target="worksheets/sheet1.xml"></Relationship><Relationship Id="rId2" Type="http://schemas.openxmlformats.org/officeDocument/2006/relationships/worksheet" Target="worksheets/sheet2.xml"></Relationship><Relationship Id="rId3" Type="http://schemas.openxmlformats.org/officeDocument/2006/relationships/worksheet" Target="worksheets/sheet3.xml"></Relationship><Relationship Id="rId4" Type="http://schemas.openxmlformats.org/officeDocument/2006/relationships/worksheet" Target="worksheets/sheet4.xml"></Relationship><Relationship Id="rId5" Type="http://schemas.openxmlformats.org/officeDocument/2006/relationships/worksheet" Target="worksheets/sheet5.xml"></Relationship><Relationship Id="rId6" Type="http://schemas.openxmlformats.org/officeDocument/2006/relationships/styles" Target="styles.xml"></Relationship></Relationships>
</file>

<file path=xl/worksheets/sheet1.xml><?xml version="1.0" encoding="utf-8"?>
<worksheet xmlns="http://schemas.openxmlformats.org/spreadsheetml/2006/main">
  <dimension ref="A1:B17"/>
  <sheetViews>
    <sheetView showGridLines="0" workbookViewId="0">
      <pane xSplit="1" ySplit="4" topLeftCell="B5" activePane="bottomRight" state="frozen"/>
      <selection pane="bottomRight" activeCell="B5" sqref="B5"/>
    </sheetView>
  </sheetViews>
  <sheetFormatPr defaultRowHeight="18"/>
  <cols>
    <col min="1" max="1" width="40" customWidth="1"/>
    <col min="2" max="2" width="19" customWidth="1"/>
  </cols>
  <sheetData>
    <row r="1" ht="32" customHeight="1">
      <c r="A1" t="inlineStr" s="1">
        <is>
          <t xml:space="preserve">Pricing and operating assumptions</t>
        </is>
      </c>
    </row>
    <row r="2" ht="20" customHeight="1">
      <c r="A2" t="inlineStr" s="2">
        <is>
          <t xml:space="preserve">Wincheck | 12-month plan · Main Scenario</t>
        </is>
      </c>
    </row>
    <row r="4" ht="22" customHeight="1">
      <c r="A4" t="inlineStr" s="3">
        <is>
          <t xml:space="preserve">Variable / dimension</t>
        </is>
      </c>
      <c r="B4" t="inlineStr" s="4">
        <is>
          <t xml:space="preserve">Value</t>
        </is>
      </c>
    </row>
    <row r="5">
      <c r="A5" t="inlineStr" s="5">
        <is>
          <t xml:space="preserve">Team monthly price</t>
        </is>
      </c>
      <c r="B5" s="6">
        <f>199</f>
        <v>199</v>
      </c>
    </row>
    <row r="6">
      <c r="A6" t="inlineStr" s="7">
        <is>
          <t xml:space="preserve">Included fixes per team</t>
        </is>
      </c>
      <c r="B6" s="8">
        <f>10</f>
        <v>10</v>
      </c>
    </row>
    <row r="7">
      <c r="A7" t="inlineStr" s="7">
        <is>
          <t xml:space="preserve">Extra fix price</t>
        </is>
      </c>
      <c r="B7" s="8">
        <f>29</f>
        <v>29</v>
      </c>
    </row>
    <row r="8">
      <c r="A8" t="inlineStr" s="7">
        <is>
          <t xml:space="preserve">Pay per fix price</t>
        </is>
      </c>
      <c r="B8" s="8">
        <f>49</f>
        <v>49</v>
      </c>
    </row>
    <row r="9">
      <c r="A9" t="inlineStr" s="7">
        <is>
          <t xml:space="preserve">Cost per successful fix</t>
        </is>
      </c>
      <c r="B9" s="9">
        <f>1.5</f>
        <v>1.5</v>
      </c>
    </row>
    <row r="10">
      <c r="A10" t="inlineStr" s="7">
        <is>
          <t xml:space="preserve">Target gross margin</t>
        </is>
      </c>
      <c r="B10" s="10">
        <f>0.7</f>
        <v>0.7</v>
      </c>
    </row>
    <row r="11">
      <c r="A11" t="inlineStr" s="7">
        <is>
          <t xml:space="preserve">Monthly hosting</t>
        </is>
      </c>
      <c r="B11" s="8">
        <f>50</f>
        <v>50</v>
      </c>
    </row>
    <row r="12">
      <c r="A12" t="inlineStr" s="7">
        <is>
          <t xml:space="preserve">Monthly tools</t>
        </is>
      </c>
      <c r="B12" s="8">
        <f>100</f>
        <v>100</v>
      </c>
    </row>
    <row r="13">
      <c r="A13" t="inlineStr" s="7">
        <is>
          <t xml:space="preserve">Founder monthly pay</t>
        </is>
      </c>
      <c r="B13" s="8">
        <f>4000</f>
        <v>4000</v>
      </c>
    </row>
    <row r="14">
      <c r="A14" t="inlineStr" s="7">
        <is>
          <t xml:space="preserve">Founder pay start month</t>
        </is>
      </c>
      <c r="B14" s="8">
        <f>7</f>
        <v>7</v>
      </c>
    </row>
    <row r="15">
      <c r="A15" t="inlineStr" s="7">
        <is>
          <t xml:space="preserve">Contract engineer monthly cost</t>
        </is>
      </c>
      <c r="B15" s="8">
        <f>6000</f>
        <v>6000</v>
      </c>
    </row>
    <row r="16">
      <c r="A16" t="inlineStr" s="7">
        <is>
          <t xml:space="preserve">Earliest hire month</t>
        </is>
      </c>
      <c r="B16" s="8">
        <f>10</f>
        <v>10</v>
      </c>
    </row>
    <row r="17">
      <c r="A17" t="inlineStr" s="5">
        <is>
          <t xml:space="preserve">Free fixes per project</t>
        </is>
      </c>
      <c r="B17" s="6">
        <f>1</f>
        <v>1</v>
      </c>
    </row>
  </sheetData>
  <mergeCells count="1">
    <mergeCell ref="A1:B1"/>
  </mergeCells>
</worksheet>
</file>

<file path=xl/worksheets/sheet2.xml><?xml version="1.0" encoding="utf-8"?>
<worksheet xmlns="http://schemas.openxmlformats.org/spreadsheetml/2006/main">
  <dimension ref="A1:M34"/>
  <sheetViews>
    <sheetView showGridLines="0" workbookViewId="0">
      <pane xSplit="1" ySplit="4" topLeftCell="B5" activePane="bottomRight" state="frozen"/>
      <selection pane="bottomRight" activeCell="B5" sqref="B5"/>
    </sheetView>
  </sheetViews>
  <sheetFormatPr defaultRowHeight="18"/>
  <cols>
    <col min="1" max="1" width="40" customWidth="1"/>
    <col min="2" max="2" width="19" customWidth="1"/>
    <col min="3" max="3" width="19" customWidth="1"/>
    <col min="4" max="4" width="19" customWidth="1"/>
    <col min="5" max="5" width="19" customWidth="1"/>
    <col min="6" max="6" width="19" customWidth="1"/>
    <col min="7" max="7" width="19" customWidth="1"/>
    <col min="8" max="8" width="19" customWidth="1"/>
    <col min="9" max="9" width="19" customWidth="1"/>
    <col min="10" max="10" width="19" customWidth="1"/>
    <col min="11" max="11" width="19" customWidth="1"/>
    <col min="12" max="12" width="19" customWidth="1"/>
    <col min="13" max="13" width="19" customWidth="1"/>
  </cols>
  <sheetData>
    <row r="1" ht="32" customHeight="1">
      <c r="A1" t="inlineStr" s="1">
        <is>
          <t xml:space="preserve">Monthly operating and hiring forecast</t>
        </is>
      </c>
    </row>
    <row r="2" ht="20" customHeight="1">
      <c r="A2" t="inlineStr" s="2">
        <is>
          <t xml:space="preserve">Wincheck | 12-month plan · Main Scenario</t>
        </is>
      </c>
    </row>
    <row r="4" ht="22" customHeight="1">
      <c r="A4" t="inlineStr" s="3">
        <is>
          <t xml:space="preserve">Variable / dimension</t>
        </is>
      </c>
      <c r="B4" t="inlineStr" s="11">
        <is>
          <t xml:space="preserve">2026-10</t>
        </is>
      </c>
      <c r="C4" t="inlineStr" s="4">
        <is>
          <t xml:space="preserve">2026-11</t>
        </is>
      </c>
      <c r="D4" t="inlineStr" s="4">
        <is>
          <t xml:space="preserve">2026-12</t>
        </is>
      </c>
      <c r="E4" t="inlineStr" s="11">
        <is>
          <t xml:space="preserve">2027-01</t>
        </is>
      </c>
      <c r="F4" t="inlineStr" s="4">
        <is>
          <t xml:space="preserve">2027-02</t>
        </is>
      </c>
      <c r="G4" t="inlineStr" s="4">
        <is>
          <t xml:space="preserve">2027-03</t>
        </is>
      </c>
      <c r="H4" t="inlineStr" s="11">
        <is>
          <t xml:space="preserve">2027-04</t>
        </is>
      </c>
      <c r="I4" t="inlineStr" s="4">
        <is>
          <t xml:space="preserve">2027-05</t>
        </is>
      </c>
      <c r="J4" t="inlineStr" s="4">
        <is>
          <t xml:space="preserve">2027-06</t>
        </is>
      </c>
      <c r="K4" t="inlineStr" s="11">
        <is>
          <t xml:space="preserve">2027-07</t>
        </is>
      </c>
      <c r="L4" t="inlineStr" s="4">
        <is>
          <t xml:space="preserve">2027-08</t>
        </is>
      </c>
      <c r="M4" t="inlineStr" s="4">
        <is>
          <t xml:space="preserve">2027-09</t>
        </is>
      </c>
    </row>
    <row r="5">
      <c r="A5" t="inlineStr" s="5">
        <is>
          <t xml:space="preserve">Paying teams</t>
        </is>
      </c>
      <c r="B5" s="6">
        <f>0</f>
        <v>0</v>
      </c>
      <c r="C5" s="6">
        <f>1</f>
        <v>1</v>
      </c>
      <c r="D5" s="6">
        <f>2</f>
        <v>2</v>
      </c>
      <c r="E5" s="6">
        <f>3</f>
        <v>3</v>
      </c>
      <c r="F5" s="6">
        <f>4</f>
        <v>4</v>
      </c>
      <c r="G5" s="6">
        <f>5</f>
        <v>5</v>
      </c>
      <c r="H5" s="6">
        <f>8</f>
        <v>8</v>
      </c>
      <c r="I5" s="6">
        <f>11</f>
        <v>11</v>
      </c>
      <c r="J5" s="6">
        <f>15</f>
        <v>15</v>
      </c>
      <c r="K5" s="6">
        <f>20</f>
        <v>20</v>
      </c>
      <c r="L5" s="6">
        <f>25</f>
        <v>25</v>
      </c>
      <c r="M5" s="6">
        <f>30</f>
        <v>30</v>
      </c>
    </row>
    <row r="6">
      <c r="A6" t="inlineStr" s="7">
        <is>
          <t xml:space="preserve">Free projects</t>
        </is>
      </c>
      <c r="B6" s="8">
        <f>3</f>
        <v>3</v>
      </c>
      <c r="C6" s="8">
        <f>6</f>
        <v>6</v>
      </c>
      <c r="D6" s="8">
        <f>10</f>
        <v>10</v>
      </c>
      <c r="E6" s="8">
        <f>10</f>
        <v>10</v>
      </c>
      <c r="F6" s="8">
        <f>10</f>
        <v>10</v>
      </c>
      <c r="G6" s="8">
        <f>10</f>
        <v>10</v>
      </c>
      <c r="H6" s="8">
        <f>10</f>
        <v>10</v>
      </c>
      <c r="I6" s="8">
        <f>10</f>
        <v>10</v>
      </c>
      <c r="J6" s="8">
        <f>10</f>
        <v>10</v>
      </c>
      <c r="K6" s="8">
        <f>10</f>
        <v>10</v>
      </c>
      <c r="L6" s="8">
        <f>10</f>
        <v>10</v>
      </c>
      <c r="M6" s="8">
        <f>10</f>
        <v>10</v>
      </c>
    </row>
    <row r="7">
      <c r="A7" t="inlineStr" s="7">
        <is>
          <t xml:space="preserve">Extra fixes per team</t>
        </is>
      </c>
      <c r="B7" s="8">
        <f>0</f>
        <v>0</v>
      </c>
      <c r="C7" s="8">
        <f>0</f>
        <v>0</v>
      </c>
      <c r="D7" s="8">
        <f>0</f>
        <v>0</v>
      </c>
      <c r="E7" s="8">
        <f>0</f>
        <v>0</v>
      </c>
      <c r="F7" s="8">
        <f>0</f>
        <v>0</v>
      </c>
      <c r="G7" s="8">
        <f>0</f>
        <v>0</v>
      </c>
      <c r="H7" s="8">
        <f>0</f>
        <v>0</v>
      </c>
      <c r="I7" s="8">
        <f>0</f>
        <v>0</v>
      </c>
      <c r="J7" s="8">
        <f>0</f>
        <v>0</v>
      </c>
      <c r="K7" s="8">
        <f>0</f>
        <v>0</v>
      </c>
      <c r="L7" s="8">
        <f>0</f>
        <v>0</v>
      </c>
      <c r="M7" s="8">
        <f>0</f>
        <v>0</v>
      </c>
    </row>
    <row r="8">
      <c r="A8" t="inlineStr" s="7">
        <is>
          <t xml:space="preserve">Paid standalone fixes</t>
        </is>
      </c>
      <c r="B8" s="8">
        <f>0</f>
        <v>0</v>
      </c>
      <c r="C8" s="8">
        <f>0</f>
        <v>0</v>
      </c>
      <c r="D8" s="8">
        <f>0</f>
        <v>0</v>
      </c>
      <c r="E8" s="8">
        <f>0</f>
        <v>0</v>
      </c>
      <c r="F8" s="8">
        <f>0</f>
        <v>0</v>
      </c>
      <c r="G8" s="8">
        <f>0</f>
        <v>0</v>
      </c>
      <c r="H8" s="8">
        <f>0</f>
        <v>0</v>
      </c>
      <c r="I8" s="8">
        <f>0</f>
        <v>0</v>
      </c>
      <c r="J8" s="8">
        <f>0</f>
        <v>0</v>
      </c>
      <c r="K8" s="8">
        <f>0</f>
        <v>0</v>
      </c>
      <c r="L8" s="8">
        <f>0</f>
        <v>0</v>
      </c>
      <c r="M8" s="8">
        <f>0</f>
        <v>0</v>
      </c>
    </row>
    <row r="9">
      <c r="A9" t="inlineStr" s="7">
        <is>
          <t xml:space="preserve">Plan month</t>
        </is>
      </c>
      <c r="B9" s="8">
        <f>DATEDIF(DATE(2026,10,1),DATE(2026,10,1),"M")+1</f>
        <v>1</v>
      </c>
      <c r="C9" s="8">
        <f>DATEDIF(DATE(2026,10,1),DATE(2026,11,1),"M")+1</f>
        <v>2</v>
      </c>
      <c r="D9" s="8">
        <f>DATEDIF(DATE(2026,10,1),DATE(2026,12,1),"M")+1</f>
        <v>3</v>
      </c>
      <c r="E9" s="8">
        <f>DATEDIF(DATE(2026,10,1),DATE(2027,1,1),"M")+1</f>
        <v>4</v>
      </c>
      <c r="F9" s="8">
        <f>DATEDIF(DATE(2026,10,1),DATE(2027,2,1),"M")+1</f>
        <v>5</v>
      </c>
      <c r="G9" s="8">
        <f>DATEDIF(DATE(2026,10,1),DATE(2027,3,1),"M")+1</f>
        <v>6</v>
      </c>
      <c r="H9" s="8">
        <f>DATEDIF(DATE(2026,10,1),DATE(2027,4,1),"M")+1</f>
        <v>7</v>
      </c>
      <c r="I9" s="8">
        <f>DATEDIF(DATE(2026,10,1),DATE(2027,5,1),"M")+1</f>
        <v>8</v>
      </c>
      <c r="J9" s="8">
        <f>DATEDIF(DATE(2026,10,1),DATE(2027,6,1),"M")+1</f>
        <v>9</v>
      </c>
      <c r="K9" s="8">
        <f>DATEDIF(DATE(2026,10,1),DATE(2027,7,1),"M")+1</f>
        <v>10</v>
      </c>
      <c r="L9" s="8">
        <f>DATEDIF(DATE(2026,10,1),DATE(2027,8,1),"M")+1</f>
        <v>11</v>
      </c>
      <c r="M9" s="8">
        <f>DATEDIF(DATE(2026,10,1),DATE(2027,9,1),"M")+1</f>
        <v>12</v>
      </c>
    </row>
    <row r="10">
      <c r="A10" t="inlineStr" s="7">
        <is>
          <t xml:space="preserve">Team successful fixes</t>
        </is>
      </c>
      <c r="B10" s="8">
        <f>'Monthly operating and hiring fo'!B5*'Pricing and operating assumptio'!B6</f>
        <v>0</v>
      </c>
      <c r="C10" s="8">
        <f>'Monthly operating and hiring fo'!C5*'Pricing and operating assumptio'!B6</f>
        <v>10</v>
      </c>
      <c r="D10" s="8">
        <f>'Monthly operating and hiring fo'!D5*'Pricing and operating assumptio'!B6</f>
        <v>20</v>
      </c>
      <c r="E10" s="8">
        <f>'Monthly operating and hiring fo'!E5*'Pricing and operating assumptio'!B6</f>
        <v>30</v>
      </c>
      <c r="F10" s="8">
        <f>'Monthly operating and hiring fo'!F5*'Pricing and operating assumptio'!B6</f>
        <v>40</v>
      </c>
      <c r="G10" s="8">
        <f>'Monthly operating and hiring fo'!G5*'Pricing and operating assumptio'!B6</f>
        <v>50</v>
      </c>
      <c r="H10" s="8">
        <f>'Monthly operating and hiring fo'!H5*'Pricing and operating assumptio'!B6</f>
        <v>80</v>
      </c>
      <c r="I10" s="8">
        <f>'Monthly operating and hiring fo'!I5*'Pricing and operating assumptio'!B6</f>
        <v>110</v>
      </c>
      <c r="J10" s="8">
        <f>'Monthly operating and hiring fo'!J5*'Pricing and operating assumptio'!B6</f>
        <v>150</v>
      </c>
      <c r="K10" s="8">
        <f>'Monthly operating and hiring fo'!K5*'Pricing and operating assumptio'!B6</f>
        <v>200</v>
      </c>
      <c r="L10" s="8">
        <f>'Monthly operating and hiring fo'!L5*'Pricing and operating assumptio'!B6</f>
        <v>250</v>
      </c>
      <c r="M10" s="8">
        <f>'Monthly operating and hiring fo'!M5*'Pricing and operating assumptio'!B6</f>
        <v>300</v>
      </c>
    </row>
    <row r="11">
      <c r="A11" t="inlineStr" s="7">
        <is>
          <t xml:space="preserve">Free successful fixes</t>
        </is>
      </c>
      <c r="B11" s="8">
        <f>'Monthly operating and hiring fo'!B6*'Pricing and operating assumptio'!B17</f>
        <v>3</v>
      </c>
      <c r="C11" s="8">
        <f>'Monthly operating and hiring fo'!C6*'Pricing and operating assumptio'!B17</f>
        <v>6</v>
      </c>
      <c r="D11" s="8">
        <f>'Monthly operating and hiring fo'!D6*'Pricing and operating assumptio'!B17</f>
        <v>10</v>
      </c>
      <c r="E11" s="8">
        <f>'Monthly operating and hiring fo'!E6*'Pricing and operating assumptio'!B17</f>
        <v>10</v>
      </c>
      <c r="F11" s="8">
        <f>'Monthly operating and hiring fo'!F6*'Pricing and operating assumptio'!B17</f>
        <v>10</v>
      </c>
      <c r="G11" s="8">
        <f>'Monthly operating and hiring fo'!G6*'Pricing and operating assumptio'!B17</f>
        <v>10</v>
      </c>
      <c r="H11" s="8">
        <f>'Monthly operating and hiring fo'!H6*'Pricing and operating assumptio'!B17</f>
        <v>10</v>
      </c>
      <c r="I11" s="8">
        <f>'Monthly operating and hiring fo'!I6*'Pricing and operating assumptio'!B17</f>
        <v>10</v>
      </c>
      <c r="J11" s="8">
        <f>'Monthly operating and hiring fo'!J6*'Pricing and operating assumptio'!B17</f>
        <v>10</v>
      </c>
      <c r="K11" s="8">
        <f>'Monthly operating and hiring fo'!K6*'Pricing and operating assumptio'!B17</f>
        <v>10</v>
      </c>
      <c r="L11" s="8">
        <f>'Monthly operating and hiring fo'!L6*'Pricing and operating assumptio'!B17</f>
        <v>10</v>
      </c>
      <c r="M11" s="8">
        <f>'Monthly operating and hiring fo'!M6*'Pricing and operating assumptio'!B17</f>
        <v>10</v>
      </c>
    </row>
    <row r="12">
      <c r="A12" t="inlineStr" s="7">
        <is>
          <t xml:space="preserve">Extra successful fixes</t>
        </is>
      </c>
      <c r="B12" s="8">
        <f>'Monthly operating and hiring fo'!B5*'Monthly operating and hiring fo'!B7</f>
        <v>0</v>
      </c>
      <c r="C12" s="8">
        <f>'Monthly operating and hiring fo'!C5*'Monthly operating and hiring fo'!C7</f>
        <v>0</v>
      </c>
      <c r="D12" s="8">
        <f>'Monthly operating and hiring fo'!D5*'Monthly operating and hiring fo'!D7</f>
        <v>0</v>
      </c>
      <c r="E12" s="8">
        <f>'Monthly operating and hiring fo'!E5*'Monthly operating and hiring fo'!E7</f>
        <v>0</v>
      </c>
      <c r="F12" s="8">
        <f>'Monthly operating and hiring fo'!F5*'Monthly operating and hiring fo'!F7</f>
        <v>0</v>
      </c>
      <c r="G12" s="8">
        <f>'Monthly operating and hiring fo'!G5*'Monthly operating and hiring fo'!G7</f>
        <v>0</v>
      </c>
      <c r="H12" s="8">
        <f>'Monthly operating and hiring fo'!H5*'Monthly operating and hiring fo'!H7</f>
        <v>0</v>
      </c>
      <c r="I12" s="8">
        <f>'Monthly operating and hiring fo'!I5*'Monthly operating and hiring fo'!I7</f>
        <v>0</v>
      </c>
      <c r="J12" s="8">
        <f>'Monthly operating and hiring fo'!J5*'Monthly operating and hiring fo'!J7</f>
        <v>0</v>
      </c>
      <c r="K12" s="8">
        <f>'Monthly operating and hiring fo'!K5*'Monthly operating and hiring fo'!K7</f>
        <v>0</v>
      </c>
      <c r="L12" s="8">
        <f>'Monthly operating and hiring fo'!L5*'Monthly operating and hiring fo'!L7</f>
        <v>0</v>
      </c>
      <c r="M12" s="8">
        <f>'Monthly operating and hiring fo'!M5*'Monthly operating and hiring fo'!M7</f>
        <v>0</v>
      </c>
    </row>
    <row r="13">
      <c r="A13" t="inlineStr" s="7">
        <is>
          <t xml:space="preserve">Team subscription revenue</t>
        </is>
      </c>
      <c r="B13" s="12">
        <f>'Monthly operating and hiring fo'!B5*'Pricing and operating assumptio'!B5</f>
        <v>0</v>
      </c>
      <c r="C13" s="12">
        <f>'Monthly operating and hiring fo'!C5*'Pricing and operating assumptio'!B5</f>
        <v>199</v>
      </c>
      <c r="D13" s="12">
        <f>'Monthly operating and hiring fo'!D5*'Pricing and operating assumptio'!B5</f>
        <v>398</v>
      </c>
      <c r="E13" s="12">
        <f>'Monthly operating and hiring fo'!E5*'Pricing and operating assumptio'!B5</f>
        <v>597</v>
      </c>
      <c r="F13" s="12">
        <f>'Monthly operating and hiring fo'!F5*'Pricing and operating assumptio'!B5</f>
        <v>796</v>
      </c>
      <c r="G13" s="12">
        <f>'Monthly operating and hiring fo'!G5*'Pricing and operating assumptio'!B5</f>
        <v>995</v>
      </c>
      <c r="H13" s="12">
        <f>'Monthly operating and hiring fo'!H5*'Pricing and operating assumptio'!B5</f>
        <v>1592</v>
      </c>
      <c r="I13" s="12">
        <f>'Monthly operating and hiring fo'!I5*'Pricing and operating assumptio'!B5</f>
        <v>2189</v>
      </c>
      <c r="J13" s="12">
        <f>'Monthly operating and hiring fo'!J5*'Pricing and operating assumptio'!B5</f>
        <v>2985</v>
      </c>
      <c r="K13" s="12">
        <f>'Monthly operating and hiring fo'!K5*'Pricing and operating assumptio'!B5</f>
        <v>3980</v>
      </c>
      <c r="L13" s="12">
        <f>'Monthly operating and hiring fo'!L5*'Pricing and operating assumptio'!B5</f>
        <v>4975</v>
      </c>
      <c r="M13" s="12">
        <f>'Monthly operating and hiring fo'!M5*'Pricing and operating assumptio'!B5</f>
        <v>5970</v>
      </c>
    </row>
    <row r="14">
      <c r="A14" t="inlineStr" s="7">
        <is>
          <t xml:space="preserve">Extra fix revenue</t>
        </is>
      </c>
      <c r="B14" s="12">
        <f>'Monthly operating and hiring fo'!B12*'Pricing and operating assumptio'!B7</f>
        <v>0</v>
      </c>
      <c r="C14" s="12">
        <f>'Monthly operating and hiring fo'!C12*'Pricing and operating assumptio'!B7</f>
        <v>0</v>
      </c>
      <c r="D14" s="12">
        <f>'Monthly operating and hiring fo'!D12*'Pricing and operating assumptio'!B7</f>
        <v>0</v>
      </c>
      <c r="E14" s="12">
        <f>'Monthly operating and hiring fo'!E12*'Pricing and operating assumptio'!B7</f>
        <v>0</v>
      </c>
      <c r="F14" s="12">
        <f>'Monthly operating and hiring fo'!F12*'Pricing and operating assumptio'!B7</f>
        <v>0</v>
      </c>
      <c r="G14" s="12">
        <f>'Monthly operating and hiring fo'!G12*'Pricing and operating assumptio'!B7</f>
        <v>0</v>
      </c>
      <c r="H14" s="12">
        <f>'Monthly operating and hiring fo'!H12*'Pricing and operating assumptio'!B7</f>
        <v>0</v>
      </c>
      <c r="I14" s="12">
        <f>'Monthly operating and hiring fo'!I12*'Pricing and operating assumptio'!B7</f>
        <v>0</v>
      </c>
      <c r="J14" s="12">
        <f>'Monthly operating and hiring fo'!J12*'Pricing and operating assumptio'!B7</f>
        <v>0</v>
      </c>
      <c r="K14" s="12">
        <f>'Monthly operating and hiring fo'!K12*'Pricing and operating assumptio'!B7</f>
        <v>0</v>
      </c>
      <c r="L14" s="12">
        <f>'Monthly operating and hiring fo'!L12*'Pricing and operating assumptio'!B7</f>
        <v>0</v>
      </c>
      <c r="M14" s="12">
        <f>'Monthly operating and hiring fo'!M12*'Pricing and operating assumptio'!B7</f>
        <v>0</v>
      </c>
    </row>
    <row r="15">
      <c r="A15" t="inlineStr" s="7">
        <is>
          <t xml:space="preserve">Pay per fix revenue</t>
        </is>
      </c>
      <c r="B15" s="12">
        <f>'Monthly operating and hiring fo'!B8*'Pricing and operating assumptio'!B8</f>
        <v>0</v>
      </c>
      <c r="C15" s="12">
        <f>'Monthly operating and hiring fo'!C8*'Pricing and operating assumptio'!B8</f>
        <v>0</v>
      </c>
      <c r="D15" s="12">
        <f>'Monthly operating and hiring fo'!D8*'Pricing and operating assumptio'!B8</f>
        <v>0</v>
      </c>
      <c r="E15" s="12">
        <f>'Monthly operating and hiring fo'!E8*'Pricing and operating assumptio'!B8</f>
        <v>0</v>
      </c>
      <c r="F15" s="12">
        <f>'Monthly operating and hiring fo'!F8*'Pricing and operating assumptio'!B8</f>
        <v>0</v>
      </c>
      <c r="G15" s="12">
        <f>'Monthly operating and hiring fo'!G8*'Pricing and operating assumptio'!B8</f>
        <v>0</v>
      </c>
      <c r="H15" s="12">
        <f>'Monthly operating and hiring fo'!H8*'Pricing and operating assumptio'!B8</f>
        <v>0</v>
      </c>
      <c r="I15" s="12">
        <f>'Monthly operating and hiring fo'!I8*'Pricing and operating assumptio'!B8</f>
        <v>0</v>
      </c>
      <c r="J15" s="12">
        <f>'Monthly operating and hiring fo'!J8*'Pricing and operating assumptio'!B8</f>
        <v>0</v>
      </c>
      <c r="K15" s="12">
        <f>'Monthly operating and hiring fo'!K8*'Pricing and operating assumptio'!B8</f>
        <v>0</v>
      </c>
      <c r="L15" s="12">
        <f>'Monthly operating and hiring fo'!L8*'Pricing and operating assumptio'!B8</f>
        <v>0</v>
      </c>
      <c r="M15" s="12">
        <f>'Monthly operating and hiring fo'!M8*'Pricing and operating assumptio'!B8</f>
        <v>0</v>
      </c>
    </row>
    <row r="16">
      <c r="A16" t="inlineStr" s="7">
        <is>
          <t xml:space="preserve">Revenue</t>
        </is>
      </c>
      <c r="B16" s="12">
        <f>'Monthly operating and hiring fo'!B13+'Monthly operating and hiring fo'!B14+'Monthly operating and hiring fo'!B15</f>
        <v>0</v>
      </c>
      <c r="C16" s="12">
        <f>'Monthly operating and hiring fo'!C13+'Monthly operating and hiring fo'!C14+'Monthly operating and hiring fo'!C15</f>
        <v>199</v>
      </c>
      <c r="D16" s="12">
        <f>'Monthly operating and hiring fo'!D13+'Monthly operating and hiring fo'!D14+'Monthly operating and hiring fo'!D15</f>
        <v>398</v>
      </c>
      <c r="E16" s="12">
        <f>'Monthly operating and hiring fo'!E13+'Monthly operating and hiring fo'!E14+'Monthly operating and hiring fo'!E15</f>
        <v>597</v>
      </c>
      <c r="F16" s="12">
        <f>'Monthly operating and hiring fo'!F13+'Monthly operating and hiring fo'!F14+'Monthly operating and hiring fo'!F15</f>
        <v>796</v>
      </c>
      <c r="G16" s="12">
        <f>'Monthly operating and hiring fo'!G13+'Monthly operating and hiring fo'!G14+'Monthly operating and hiring fo'!G15</f>
        <v>995</v>
      </c>
      <c r="H16" s="12">
        <f>'Monthly operating and hiring fo'!H13+'Monthly operating and hiring fo'!H14+'Monthly operating and hiring fo'!H15</f>
        <v>1592</v>
      </c>
      <c r="I16" s="12">
        <f>'Monthly operating and hiring fo'!I13+'Monthly operating and hiring fo'!I14+'Monthly operating and hiring fo'!I15</f>
        <v>2189</v>
      </c>
      <c r="J16" s="12">
        <f>'Monthly operating and hiring fo'!J13+'Monthly operating and hiring fo'!J14+'Monthly operating and hiring fo'!J15</f>
        <v>2985</v>
      </c>
      <c r="K16" s="12">
        <f>'Monthly operating and hiring fo'!K13+'Monthly operating and hiring fo'!K14+'Monthly operating and hiring fo'!K15</f>
        <v>3980</v>
      </c>
      <c r="L16" s="12">
        <f>'Monthly operating and hiring fo'!L13+'Monthly operating and hiring fo'!L14+'Monthly operating and hiring fo'!L15</f>
        <v>4975</v>
      </c>
      <c r="M16" s="12">
        <f>'Monthly operating and hiring fo'!M13+'Monthly operating and hiring fo'!M14+'Monthly operating and hiring fo'!M15</f>
        <v>5970</v>
      </c>
    </row>
    <row r="17">
      <c r="A17" t="inlineStr" s="7">
        <is>
          <t xml:space="preserve">Paid delivery cost</t>
        </is>
      </c>
      <c r="B17" s="12">
        <f>('Monthly operating and hiring fo'!B10+'Monthly operating and hiring fo'!B12+'Monthly operating and hiring fo'!B8)*'Pricing and operating assumptio'!B9</f>
        <v>0</v>
      </c>
      <c r="C17" s="12">
        <f>('Monthly operating and hiring fo'!C10+'Monthly operating and hiring fo'!C12+'Monthly operating and hiring fo'!C8)*'Pricing and operating assumptio'!B9</f>
        <v>15</v>
      </c>
      <c r="D17" s="12">
        <f>('Monthly operating and hiring fo'!D10+'Monthly operating and hiring fo'!D12+'Monthly operating and hiring fo'!D8)*'Pricing and operating assumptio'!B9</f>
        <v>30</v>
      </c>
      <c r="E17" s="12">
        <f>('Monthly operating and hiring fo'!E10+'Monthly operating and hiring fo'!E12+'Monthly operating and hiring fo'!E8)*'Pricing and operating assumptio'!B9</f>
        <v>45</v>
      </c>
      <c r="F17" s="12">
        <f>('Monthly operating and hiring fo'!F10+'Monthly operating and hiring fo'!F12+'Monthly operating and hiring fo'!F8)*'Pricing and operating assumptio'!B9</f>
        <v>60</v>
      </c>
      <c r="G17" s="12">
        <f>('Monthly operating and hiring fo'!G10+'Monthly operating and hiring fo'!G12+'Monthly operating and hiring fo'!G8)*'Pricing and operating assumptio'!B9</f>
        <v>75</v>
      </c>
      <c r="H17" s="12">
        <f>('Monthly operating and hiring fo'!H10+'Monthly operating and hiring fo'!H12+'Monthly operating and hiring fo'!H8)*'Pricing and operating assumptio'!B9</f>
        <v>120</v>
      </c>
      <c r="I17" s="12">
        <f>('Monthly operating and hiring fo'!I10+'Monthly operating and hiring fo'!I12+'Monthly operating and hiring fo'!I8)*'Pricing and operating assumptio'!B9</f>
        <v>165</v>
      </c>
      <c r="J17" s="12">
        <f>('Monthly operating and hiring fo'!J10+'Monthly operating and hiring fo'!J12+'Monthly operating and hiring fo'!J8)*'Pricing and operating assumptio'!B9</f>
        <v>225</v>
      </c>
      <c r="K17" s="12">
        <f>('Monthly operating and hiring fo'!K10+'Monthly operating and hiring fo'!K12+'Monthly operating and hiring fo'!K8)*'Pricing and operating assumptio'!B9</f>
        <v>300</v>
      </c>
      <c r="L17" s="12">
        <f>('Monthly operating and hiring fo'!L10+'Monthly operating and hiring fo'!L12+'Monthly operating and hiring fo'!L8)*'Pricing and operating assumptio'!B9</f>
        <v>375</v>
      </c>
      <c r="M17" s="12">
        <f>('Monthly operating and hiring fo'!M10+'Monthly operating and hiring fo'!M12+'Monthly operating and hiring fo'!M8)*'Pricing and operating assumptio'!B9</f>
        <v>450</v>
      </c>
    </row>
    <row r="18">
      <c r="A18" t="inlineStr" s="7">
        <is>
          <t xml:space="preserve">Gross profit</t>
        </is>
      </c>
      <c r="B18" s="12">
        <f>'Monthly operating and hiring fo'!B16-'Monthly operating and hiring fo'!B17</f>
        <v>0</v>
      </c>
      <c r="C18" s="12">
        <f>'Monthly operating and hiring fo'!C16-'Monthly operating and hiring fo'!C17</f>
        <v>184</v>
      </c>
      <c r="D18" s="12">
        <f>'Monthly operating and hiring fo'!D16-'Monthly operating and hiring fo'!D17</f>
        <v>368</v>
      </c>
      <c r="E18" s="12">
        <f>'Monthly operating and hiring fo'!E16-'Monthly operating and hiring fo'!E17</f>
        <v>552</v>
      </c>
      <c r="F18" s="12">
        <f>'Monthly operating and hiring fo'!F16-'Monthly operating and hiring fo'!F17</f>
        <v>736</v>
      </c>
      <c r="G18" s="12">
        <f>'Monthly operating and hiring fo'!G16-'Monthly operating and hiring fo'!G17</f>
        <v>920</v>
      </c>
      <c r="H18" s="12">
        <f>'Monthly operating and hiring fo'!H16-'Monthly operating and hiring fo'!H17</f>
        <v>1472</v>
      </c>
      <c r="I18" s="12">
        <f>'Monthly operating and hiring fo'!I16-'Monthly operating and hiring fo'!I17</f>
        <v>2024</v>
      </c>
      <c r="J18" s="12">
        <f>'Monthly operating and hiring fo'!J16-'Monthly operating and hiring fo'!J17</f>
        <v>2760</v>
      </c>
      <c r="K18" s="12">
        <f>'Monthly operating and hiring fo'!K16-'Monthly operating and hiring fo'!K17</f>
        <v>3680</v>
      </c>
      <c r="L18" s="12">
        <f>'Monthly operating and hiring fo'!L16-'Monthly operating and hiring fo'!L17</f>
        <v>4600</v>
      </c>
      <c r="M18" s="12">
        <f>'Monthly operating and hiring fo'!M16-'Monthly operating and hiring fo'!M17</f>
        <v>5520</v>
      </c>
    </row>
    <row r="19">
      <c r="A19" t="inlineStr" s="7">
        <is>
          <t xml:space="preserve">Gross margin</t>
        </is>
      </c>
      <c r="B19" t="str" s="13">
        <f>IFERROR('Monthly operating and hiring fo'!B18/'Monthly operating and hiring fo'!B16,"")</f>
        <v/>
      </c>
      <c r="C19" s="13">
        <f>IFERROR('Monthly operating and hiring fo'!C18/'Monthly operating and hiring fo'!C16,"")</f>
        <v>0.9246231155778895</v>
      </c>
      <c r="D19" s="13">
        <f>IFERROR('Monthly operating and hiring fo'!D18/'Monthly operating and hiring fo'!D16,"")</f>
        <v>0.9246231155778895</v>
      </c>
      <c r="E19" s="13">
        <f>IFERROR('Monthly operating and hiring fo'!E18/'Monthly operating and hiring fo'!E16,"")</f>
        <v>0.9246231155778895</v>
      </c>
      <c r="F19" s="13">
        <f>IFERROR('Monthly operating and hiring fo'!F18/'Monthly operating and hiring fo'!F16,"")</f>
        <v>0.9246231155778895</v>
      </c>
      <c r="G19" s="13">
        <f>IFERROR('Monthly operating and hiring fo'!G18/'Monthly operating and hiring fo'!G16,"")</f>
        <v>0.9246231155778895</v>
      </c>
      <c r="H19" s="13">
        <f>IFERROR('Monthly operating and hiring fo'!H18/'Monthly operating and hiring fo'!H16,"")</f>
        <v>0.9246231155778895</v>
      </c>
      <c r="I19" s="13">
        <f>IFERROR('Monthly operating and hiring fo'!I18/'Monthly operating and hiring fo'!I16,"")</f>
        <v>0.9246231155778895</v>
      </c>
      <c r="J19" s="13">
        <f>IFERROR('Monthly operating and hiring fo'!J18/'Monthly operating and hiring fo'!J16,"")</f>
        <v>0.9246231155778895</v>
      </c>
      <c r="K19" s="13">
        <f>IFERROR('Monthly operating and hiring fo'!K18/'Monthly operating and hiring fo'!K16,"")</f>
        <v>0.9246231155778895</v>
      </c>
      <c r="L19" s="13">
        <f>IFERROR('Monthly operating and hiring fo'!L18/'Monthly operating and hiring fo'!L16,"")</f>
        <v>0.9246231155778895</v>
      </c>
      <c r="M19" s="13">
        <f>IFERROR('Monthly operating and hiring fo'!M18/'Monthly operating and hiring fo'!M16,"")</f>
        <v>0.9246231155778895</v>
      </c>
    </row>
    <row r="20">
      <c r="A20" t="inlineStr" s="7">
        <is>
          <t xml:space="preserve">Free project cost</t>
        </is>
      </c>
      <c r="B20" s="12">
        <f>'Monthly operating and hiring fo'!B11*'Pricing and operating assumptio'!B9</f>
        <v>4.5</v>
      </c>
      <c r="C20" s="12">
        <f>'Monthly operating and hiring fo'!C11*'Pricing and operating assumptio'!B9</f>
        <v>9</v>
      </c>
      <c r="D20" s="12">
        <f>'Monthly operating and hiring fo'!D11*'Pricing and operating assumptio'!B9</f>
        <v>15</v>
      </c>
      <c r="E20" s="12">
        <f>'Monthly operating and hiring fo'!E11*'Pricing and operating assumptio'!B9</f>
        <v>15</v>
      </c>
      <c r="F20" s="12">
        <f>'Monthly operating and hiring fo'!F11*'Pricing and operating assumptio'!B9</f>
        <v>15</v>
      </c>
      <c r="G20" s="12">
        <f>'Monthly operating and hiring fo'!G11*'Pricing and operating assumptio'!B9</f>
        <v>15</v>
      </c>
      <c r="H20" s="12">
        <f>'Monthly operating and hiring fo'!H11*'Pricing and operating assumptio'!B9</f>
        <v>15</v>
      </c>
      <c r="I20" s="12">
        <f>'Monthly operating and hiring fo'!I11*'Pricing and operating assumptio'!B9</f>
        <v>15</v>
      </c>
      <c r="J20" s="12">
        <f>'Monthly operating and hiring fo'!J11*'Pricing and operating assumptio'!B9</f>
        <v>15</v>
      </c>
      <c r="K20" s="12">
        <f>'Monthly operating and hiring fo'!K11*'Pricing and operating assumptio'!B9</f>
        <v>15</v>
      </c>
      <c r="L20" s="12">
        <f>'Monthly operating and hiring fo'!L11*'Pricing and operating assumptio'!B9</f>
        <v>15</v>
      </c>
      <c r="M20" s="12">
        <f>'Monthly operating and hiring fo'!M11*'Pricing and operating assumptio'!B9</f>
        <v>15</v>
      </c>
    </row>
    <row r="21">
      <c r="A21" t="inlineStr" s="7">
        <is>
          <t xml:space="preserve">Fixed overhead</t>
        </is>
      </c>
      <c r="B21" s="12">
        <f>'Pricing and operating assumptio'!B11+'Pricing and operating assumptio'!B12</f>
        <v>150</v>
      </c>
      <c r="C21" s="12">
        <f>'Pricing and operating assumptio'!B11+'Pricing and operating assumptio'!B12</f>
        <v>150</v>
      </c>
      <c r="D21" s="12">
        <f>'Pricing and operating assumptio'!B11+'Pricing and operating assumptio'!B12</f>
        <v>150</v>
      </c>
      <c r="E21" s="12">
        <f>'Pricing and operating assumptio'!B11+'Pricing and operating assumptio'!B12</f>
        <v>150</v>
      </c>
      <c r="F21" s="12">
        <f>'Pricing and operating assumptio'!B11+'Pricing and operating assumptio'!B12</f>
        <v>150</v>
      </c>
      <c r="G21" s="12">
        <f>'Pricing and operating assumptio'!B11+'Pricing and operating assumptio'!B12</f>
        <v>150</v>
      </c>
      <c r="H21" s="12">
        <f>'Pricing and operating assumptio'!B11+'Pricing and operating assumptio'!B12</f>
        <v>150</v>
      </c>
      <c r="I21" s="12">
        <f>'Pricing and operating assumptio'!B11+'Pricing and operating assumptio'!B12</f>
        <v>150</v>
      </c>
      <c r="J21" s="12">
        <f>'Pricing and operating assumptio'!B11+'Pricing and operating assumptio'!B12</f>
        <v>150</v>
      </c>
      <c r="K21" s="12">
        <f>'Pricing and operating assumptio'!B11+'Pricing and operating assumptio'!B12</f>
        <v>150</v>
      </c>
      <c r="L21" s="12">
        <f>'Pricing and operating assumptio'!B11+'Pricing and operating assumptio'!B12</f>
        <v>150</v>
      </c>
      <c r="M21" s="12">
        <f>'Pricing and operating assumptio'!B11+'Pricing and operating assumptio'!B12</f>
        <v>150</v>
      </c>
    </row>
    <row r="22">
      <c r="A22" t="inlineStr" s="7">
        <is>
          <t xml:space="preserve">Founder pay</t>
        </is>
      </c>
      <c r="B22" s="12">
        <f>IF(IF(IF(ISERROR('Monthly operating and hiring fo'!B9&gt;='Pricing and operating assumptio'!B14),'Monthly operating and hiring fo'!B9&gt;='Pricing and operating assumptio'!B14,IF(OR('Monthly operating and hiring fo'!B9="",'Pricing and operating assumptio'!B14=""),"",'Monthly operating and hiring fo'!B9&gt;='Pricing and operating assumptio'!B14))="",FALSE,IF(ISERROR('Monthly operating and hiring fo'!B9&gt;='Pricing and operating assumptio'!B14),'Monthly operating and hiring fo'!B9&gt;='Pricing and operating assumptio'!B14,IF(OR('Monthly operating and hiring fo'!B9="",'Pricing and operating assumptio'!B14=""),"",'Monthly operating and hiring fo'!B9&gt;='Pricing and operating assumptio'!B14))),IF('Pricing and operating assumptio'!B13="","",'Pricing and operating assumptio'!B13),0)</f>
        <v>0</v>
      </c>
      <c r="C22" s="12">
        <f>IF(IF(IF(ISERROR('Monthly operating and hiring fo'!C9&gt;='Pricing and operating assumptio'!B14),'Monthly operating and hiring fo'!C9&gt;='Pricing and operating assumptio'!B14,IF(OR('Monthly operating and hiring fo'!C9="",'Pricing and operating assumptio'!B14=""),"",'Monthly operating and hiring fo'!C9&gt;='Pricing and operating assumptio'!B14))="",FALSE,IF(ISERROR('Monthly operating and hiring fo'!C9&gt;='Pricing and operating assumptio'!B14),'Monthly operating and hiring fo'!C9&gt;='Pricing and operating assumptio'!B14,IF(OR('Monthly operating and hiring fo'!C9="",'Pricing and operating assumptio'!B14=""),"",'Monthly operating and hiring fo'!C9&gt;='Pricing and operating assumptio'!B14))),IF('Pricing and operating assumptio'!B13="","",'Pricing and operating assumptio'!B13),0)</f>
        <v>0</v>
      </c>
      <c r="D22" s="12">
        <f>IF(IF(IF(ISERROR('Monthly operating and hiring fo'!D9&gt;='Pricing and operating assumptio'!B14),'Monthly operating and hiring fo'!D9&gt;='Pricing and operating assumptio'!B14,IF(OR('Monthly operating and hiring fo'!D9="",'Pricing and operating assumptio'!B14=""),"",'Monthly operating and hiring fo'!D9&gt;='Pricing and operating assumptio'!B14))="",FALSE,IF(ISERROR('Monthly operating and hiring fo'!D9&gt;='Pricing and operating assumptio'!B14),'Monthly operating and hiring fo'!D9&gt;='Pricing and operating assumptio'!B14,IF(OR('Monthly operating and hiring fo'!D9="",'Pricing and operating assumptio'!B14=""),"",'Monthly operating and hiring fo'!D9&gt;='Pricing and operating assumptio'!B14))),IF('Pricing and operating assumptio'!B13="","",'Pricing and operating assumptio'!B13),0)</f>
        <v>0</v>
      </c>
      <c r="E22" s="12">
        <f>IF(IF(IF(ISERROR('Monthly operating and hiring fo'!E9&gt;='Pricing and operating assumptio'!B14),'Monthly operating and hiring fo'!E9&gt;='Pricing and operating assumptio'!B14,IF(OR('Monthly operating and hiring fo'!E9="",'Pricing and operating assumptio'!B14=""),"",'Monthly operating and hiring fo'!E9&gt;='Pricing and operating assumptio'!B14))="",FALSE,IF(ISERROR('Monthly operating and hiring fo'!E9&gt;='Pricing and operating assumptio'!B14),'Monthly operating and hiring fo'!E9&gt;='Pricing and operating assumptio'!B14,IF(OR('Monthly operating and hiring fo'!E9="",'Pricing and operating assumptio'!B14=""),"",'Monthly operating and hiring fo'!E9&gt;='Pricing and operating assumptio'!B14))),IF('Pricing and operating assumptio'!B13="","",'Pricing and operating assumptio'!B13),0)</f>
        <v>0</v>
      </c>
      <c r="F22" s="12">
        <f>IF(IF(IF(ISERROR('Monthly operating and hiring fo'!F9&gt;='Pricing and operating assumptio'!B14),'Monthly operating and hiring fo'!F9&gt;='Pricing and operating assumptio'!B14,IF(OR('Monthly operating and hiring fo'!F9="",'Pricing and operating assumptio'!B14=""),"",'Monthly operating and hiring fo'!F9&gt;='Pricing and operating assumptio'!B14))="",FALSE,IF(ISERROR('Monthly operating and hiring fo'!F9&gt;='Pricing and operating assumptio'!B14),'Monthly operating and hiring fo'!F9&gt;='Pricing and operating assumptio'!B14,IF(OR('Monthly operating and hiring fo'!F9="",'Pricing and operating assumptio'!B14=""),"",'Monthly operating and hiring fo'!F9&gt;='Pricing and operating assumptio'!B14))),IF('Pricing and operating assumptio'!B13="","",'Pricing and operating assumptio'!B13),0)</f>
        <v>0</v>
      </c>
      <c r="G22" s="12">
        <f>IF(IF(IF(ISERROR('Monthly operating and hiring fo'!G9&gt;='Pricing and operating assumptio'!B14),'Monthly operating and hiring fo'!G9&gt;='Pricing and operating assumptio'!B14,IF(OR('Monthly operating and hiring fo'!G9="",'Pricing and operating assumptio'!B14=""),"",'Monthly operating and hiring fo'!G9&gt;='Pricing and operating assumptio'!B14))="",FALSE,IF(ISERROR('Monthly operating and hiring fo'!G9&gt;='Pricing and operating assumptio'!B14),'Monthly operating and hiring fo'!G9&gt;='Pricing and operating assumptio'!B14,IF(OR('Monthly operating and hiring fo'!G9="",'Pricing and operating assumptio'!B14=""),"",'Monthly operating and hiring fo'!G9&gt;='Pricing and operating assumptio'!B14))),IF('Pricing and operating assumptio'!B13="","",'Pricing and operating assumptio'!B13),0)</f>
        <v>0</v>
      </c>
      <c r="H22" s="12">
        <f>IF(IF(IF(ISERROR('Monthly operating and hiring fo'!H9&gt;='Pricing and operating assumptio'!B14),'Monthly operating and hiring fo'!H9&gt;='Pricing and operating assumptio'!B14,IF(OR('Monthly operating and hiring fo'!H9="",'Pricing and operating assumptio'!B14=""),"",'Monthly operating and hiring fo'!H9&gt;='Pricing and operating assumptio'!B14))="",FALSE,IF(ISERROR('Monthly operating and hiring fo'!H9&gt;='Pricing and operating assumptio'!B14),'Monthly operating and hiring fo'!H9&gt;='Pricing and operating assumptio'!B14,IF(OR('Monthly operating and hiring fo'!H9="",'Pricing and operating assumptio'!B14=""),"",'Monthly operating and hiring fo'!H9&gt;='Pricing and operating assumptio'!B14))),IF('Pricing and operating assumptio'!B13="","",'Pricing and operating assumptio'!B13),0)</f>
        <v>4000</v>
      </c>
      <c r="I22" s="12">
        <f>IF(IF(IF(ISERROR('Monthly operating and hiring fo'!I9&gt;='Pricing and operating assumptio'!B14),'Monthly operating and hiring fo'!I9&gt;='Pricing and operating assumptio'!B14,IF(OR('Monthly operating and hiring fo'!I9="",'Pricing and operating assumptio'!B14=""),"",'Monthly operating and hiring fo'!I9&gt;='Pricing and operating assumptio'!B14))="",FALSE,IF(ISERROR('Monthly operating and hiring fo'!I9&gt;='Pricing and operating assumptio'!B14),'Monthly operating and hiring fo'!I9&gt;='Pricing and operating assumptio'!B14,IF(OR('Monthly operating and hiring fo'!I9="",'Pricing and operating assumptio'!B14=""),"",'Monthly operating and hiring fo'!I9&gt;='Pricing and operating assumptio'!B14))),IF('Pricing and operating assumptio'!B13="","",'Pricing and operating assumptio'!B13),0)</f>
        <v>4000</v>
      </c>
      <c r="J22" s="12">
        <f>IF(IF(IF(ISERROR('Monthly operating and hiring fo'!J9&gt;='Pricing and operating assumptio'!B14),'Monthly operating and hiring fo'!J9&gt;='Pricing and operating assumptio'!B14,IF(OR('Monthly operating and hiring fo'!J9="",'Pricing and operating assumptio'!B14=""),"",'Monthly operating and hiring fo'!J9&gt;='Pricing and operating assumptio'!B14))="",FALSE,IF(ISERROR('Monthly operating and hiring fo'!J9&gt;='Pricing and operating assumptio'!B14),'Monthly operating and hiring fo'!J9&gt;='Pricing and operating assumptio'!B14,IF(OR('Monthly operating and hiring fo'!J9="",'Pricing and operating assumptio'!B14=""),"",'Monthly operating and hiring fo'!J9&gt;='Pricing and operating assumptio'!B14))),IF('Pricing and operating assumptio'!B13="","",'Pricing and operating assumptio'!B13),0)</f>
        <v>4000</v>
      </c>
      <c r="K22" s="12">
        <f>IF(IF(IF(ISERROR('Monthly operating and hiring fo'!K9&gt;='Pricing and operating assumptio'!B14),'Monthly operating and hiring fo'!K9&gt;='Pricing and operating assumptio'!B14,IF(OR('Monthly operating and hiring fo'!K9="",'Pricing and operating assumptio'!B14=""),"",'Monthly operating and hiring fo'!K9&gt;='Pricing and operating assumptio'!B14))="",FALSE,IF(ISERROR('Monthly operating and hiring fo'!K9&gt;='Pricing and operating assumptio'!B14),'Monthly operating and hiring fo'!K9&gt;='Pricing and operating assumptio'!B14,IF(OR('Monthly operating and hiring fo'!K9="",'Pricing and operating assumptio'!B14=""),"",'Monthly operating and hiring fo'!K9&gt;='Pricing and operating assumptio'!B14))),IF('Pricing and operating assumptio'!B13="","",'Pricing and operating assumptio'!B13),0)</f>
        <v>4000</v>
      </c>
      <c r="L22" s="12">
        <f>IF(IF(IF(ISERROR('Monthly operating and hiring fo'!L9&gt;='Pricing and operating assumptio'!B14),'Monthly operating and hiring fo'!L9&gt;='Pricing and operating assumptio'!B14,IF(OR('Monthly operating and hiring fo'!L9="",'Pricing and operating assumptio'!B14=""),"",'Monthly operating and hiring fo'!L9&gt;='Pricing and operating assumptio'!B14))="",FALSE,IF(ISERROR('Monthly operating and hiring fo'!L9&gt;='Pricing and operating assumptio'!B14),'Monthly operating and hiring fo'!L9&gt;='Pricing and operating assumptio'!B14,IF(OR('Monthly operating and hiring fo'!L9="",'Pricing and operating assumptio'!B14=""),"",'Monthly operating and hiring fo'!L9&gt;='Pricing and operating assumptio'!B14))),IF('Pricing and operating assumptio'!B13="","",'Pricing and operating assumptio'!B13),0)</f>
        <v>4000</v>
      </c>
      <c r="M22" s="12">
        <f>IF(IF(IF(ISERROR('Monthly operating and hiring fo'!M9&gt;='Pricing and operating assumptio'!B14),'Monthly operating and hiring fo'!M9&gt;='Pricing and operating assumptio'!B14,IF(OR('Monthly operating and hiring fo'!M9="",'Pricing and operating assumptio'!B14=""),"",'Monthly operating and hiring fo'!M9&gt;='Pricing and operating assumptio'!B14))="",FALSE,IF(ISERROR('Monthly operating and hiring fo'!M9&gt;='Pricing and operating assumptio'!B14),'Monthly operating and hiring fo'!M9&gt;='Pricing and operating assumptio'!B14,IF(OR('Monthly operating and hiring fo'!M9="",'Pricing and operating assumptio'!B14=""),"",'Monthly operating and hiring fo'!M9&gt;='Pricing and operating assumptio'!B14))),IF('Pricing and operating assumptio'!B13="","",'Pricing and operating assumptio'!B13),0)</f>
        <v>4000</v>
      </c>
    </row>
    <row r="23">
      <c r="A23" t="inlineStr" s="7">
        <is>
          <t xml:space="preserve">Cash flow before hire</t>
        </is>
      </c>
      <c r="B23" s="12">
        <f>'Monthly operating and hiring fo'!B18-'Monthly operating and hiring fo'!B20-'Monthly operating and hiring fo'!B21-'Monthly operating and hiring fo'!B22</f>
        <v>-154.5</v>
      </c>
      <c r="C23" s="12">
        <f>'Monthly operating and hiring fo'!C18-'Monthly operating and hiring fo'!C20-'Monthly operating and hiring fo'!C21-'Monthly operating and hiring fo'!C22</f>
        <v>25</v>
      </c>
      <c r="D23" s="12">
        <f>'Monthly operating and hiring fo'!D18-'Monthly operating and hiring fo'!D20-'Monthly operating and hiring fo'!D21-'Monthly operating and hiring fo'!D22</f>
        <v>203</v>
      </c>
      <c r="E23" s="12">
        <f>'Monthly operating and hiring fo'!E18-'Monthly operating and hiring fo'!E20-'Monthly operating and hiring fo'!E21-'Monthly operating and hiring fo'!E22</f>
        <v>387</v>
      </c>
      <c r="F23" s="12">
        <f>'Monthly operating and hiring fo'!F18-'Monthly operating and hiring fo'!F20-'Monthly operating and hiring fo'!F21-'Monthly operating and hiring fo'!F22</f>
        <v>571</v>
      </c>
      <c r="G23" s="12">
        <f>'Monthly operating and hiring fo'!G18-'Monthly operating and hiring fo'!G20-'Monthly operating and hiring fo'!G21-'Monthly operating and hiring fo'!G22</f>
        <v>755</v>
      </c>
      <c r="H23" s="12">
        <f>'Monthly operating and hiring fo'!H18-'Monthly operating and hiring fo'!H20-'Monthly operating and hiring fo'!H21-'Monthly operating and hiring fo'!H22</f>
        <v>-2693</v>
      </c>
      <c r="I23" s="12">
        <f>'Monthly operating and hiring fo'!I18-'Monthly operating and hiring fo'!I20-'Monthly operating and hiring fo'!I21-'Monthly operating and hiring fo'!I22</f>
        <v>-2141</v>
      </c>
      <c r="J23" s="12">
        <f>'Monthly operating and hiring fo'!J18-'Monthly operating and hiring fo'!J20-'Monthly operating and hiring fo'!J21-'Monthly operating and hiring fo'!J22</f>
        <v>-1405</v>
      </c>
      <c r="K23" s="12">
        <f>'Monthly operating and hiring fo'!K18-'Monthly operating and hiring fo'!K20-'Monthly operating and hiring fo'!K21-'Monthly operating and hiring fo'!K22</f>
        <v>-485</v>
      </c>
      <c r="L23" s="12">
        <f>'Monthly operating and hiring fo'!L18-'Monthly operating and hiring fo'!L20-'Monthly operating and hiring fo'!L21-'Monthly operating and hiring fo'!L22</f>
        <v>435</v>
      </c>
      <c r="M23" s="12">
        <f>'Monthly operating and hiring fo'!M18-'Monthly operating and hiring fo'!M20-'Monthly operating and hiring fo'!M21-'Monthly operating and hiring fo'!M22</f>
        <v>1355</v>
      </c>
    </row>
    <row r="24">
      <c r="A24" t="inlineStr" s="7">
        <is>
          <t xml:space="preserve">Team contribution</t>
        </is>
      </c>
      <c r="B24" s="12">
        <f>'Pricing and operating assumptio'!B5-'Pricing and operating assumptio'!B6*'Pricing and operating assumptio'!B9</f>
        <v>184</v>
      </c>
      <c r="C24" s="12">
        <f>'Pricing and operating assumptio'!B5-'Pricing and operating assumptio'!B6*'Pricing and operating assumptio'!B9</f>
        <v>184</v>
      </c>
      <c r="D24" s="12">
        <f>'Pricing and operating assumptio'!B5-'Pricing and operating assumptio'!B6*'Pricing and operating assumptio'!B9</f>
        <v>184</v>
      </c>
      <c r="E24" s="12">
        <f>'Pricing and operating assumptio'!B5-'Pricing and operating assumptio'!B6*'Pricing and operating assumptio'!B9</f>
        <v>184</v>
      </c>
      <c r="F24" s="12">
        <f>'Pricing and operating assumptio'!B5-'Pricing and operating assumptio'!B6*'Pricing and operating assumptio'!B9</f>
        <v>184</v>
      </c>
      <c r="G24" s="12">
        <f>'Pricing and operating assumptio'!B5-'Pricing and operating assumptio'!B6*'Pricing and operating assumptio'!B9</f>
        <v>184</v>
      </c>
      <c r="H24" s="12">
        <f>'Pricing and operating assumptio'!B5-'Pricing and operating assumptio'!B6*'Pricing and operating assumptio'!B9</f>
        <v>184</v>
      </c>
      <c r="I24" s="12">
        <f>'Pricing and operating assumptio'!B5-'Pricing and operating assumptio'!B6*'Pricing and operating assumptio'!B9</f>
        <v>184</v>
      </c>
      <c r="J24" s="12">
        <f>'Pricing and operating assumptio'!B5-'Pricing and operating assumptio'!B6*'Pricing and operating assumptio'!B9</f>
        <v>184</v>
      </c>
      <c r="K24" s="12">
        <f>'Pricing and operating assumptio'!B5-'Pricing and operating assumptio'!B6*'Pricing and operating assumptio'!B9</f>
        <v>184</v>
      </c>
      <c r="L24" s="12">
        <f>'Pricing and operating assumptio'!B5-'Pricing and operating assumptio'!B6*'Pricing and operating assumptio'!B9</f>
        <v>184</v>
      </c>
      <c r="M24" s="12">
        <f>'Pricing and operating assumptio'!B5-'Pricing and operating assumptio'!B6*'Pricing and operating assumptio'!B9</f>
        <v>184</v>
      </c>
    </row>
    <row r="25">
      <c r="A25" t="inlineStr" s="7">
        <is>
          <t xml:space="preserve">Break-even teams</t>
        </is>
      </c>
      <c r="B25" s="8">
        <f>CEILING(('Monthly operating and hiring fo'!B21+'Monthly operating and hiring fo'!B20+'Monthly operating and hiring fo'!B22)/'Monthly operating and hiring fo'!B24,1)</f>
        <v>1</v>
      </c>
      <c r="C25" s="8">
        <f>CEILING(('Monthly operating and hiring fo'!C21+'Monthly operating and hiring fo'!C20+'Monthly operating and hiring fo'!C22)/'Monthly operating and hiring fo'!C24,1)</f>
        <v>1</v>
      </c>
      <c r="D25" s="8">
        <f>CEILING(('Monthly operating and hiring fo'!D21+'Monthly operating and hiring fo'!D20+'Monthly operating and hiring fo'!D22)/'Monthly operating and hiring fo'!D24,1)</f>
        <v>1</v>
      </c>
      <c r="E25" s="8">
        <f>CEILING(('Monthly operating and hiring fo'!E21+'Monthly operating and hiring fo'!E20+'Monthly operating and hiring fo'!E22)/'Monthly operating and hiring fo'!E24,1)</f>
        <v>1</v>
      </c>
      <c r="F25" s="8">
        <f>CEILING(('Monthly operating and hiring fo'!F21+'Monthly operating and hiring fo'!F20+'Monthly operating and hiring fo'!F22)/'Monthly operating and hiring fo'!F24,1)</f>
        <v>1</v>
      </c>
      <c r="G25" s="8">
        <f>CEILING(('Monthly operating and hiring fo'!G21+'Monthly operating and hiring fo'!G20+'Monthly operating and hiring fo'!G22)/'Monthly operating and hiring fo'!G24,1)</f>
        <v>1</v>
      </c>
      <c r="H25" s="8">
        <f>CEILING(('Monthly operating and hiring fo'!H21+'Monthly operating and hiring fo'!H20+'Monthly operating and hiring fo'!H22)/'Monthly operating and hiring fo'!H24,1)</f>
        <v>23</v>
      </c>
      <c r="I25" s="8">
        <f>CEILING(('Monthly operating and hiring fo'!I21+'Monthly operating and hiring fo'!I20+'Monthly operating and hiring fo'!I22)/'Monthly operating and hiring fo'!I24,1)</f>
        <v>23</v>
      </c>
      <c r="J25" s="8">
        <f>CEILING(('Monthly operating and hiring fo'!J21+'Monthly operating and hiring fo'!J20+'Monthly operating and hiring fo'!J22)/'Monthly operating and hiring fo'!J24,1)</f>
        <v>23</v>
      </c>
      <c r="K25" s="8">
        <f>CEILING(('Monthly operating and hiring fo'!K21+'Monthly operating and hiring fo'!K20+'Monthly operating and hiring fo'!K22)/'Monthly operating and hiring fo'!K24,1)</f>
        <v>23</v>
      </c>
      <c r="L25" s="8">
        <f>CEILING(('Monthly operating and hiring fo'!L21+'Monthly operating and hiring fo'!L20+'Monthly operating and hiring fo'!L22)/'Monthly operating and hiring fo'!L24,1)</f>
        <v>23</v>
      </c>
      <c r="M25" s="8">
        <f>CEILING(('Monthly operating and hiring fo'!M21+'Monthly operating and hiring fo'!M20+'Monthly operating and hiring fo'!M22)/'Monthly operating and hiring fo'!M24,1)</f>
        <v>23</v>
      </c>
    </row>
    <row r="26">
      <c r="A26" t="inlineStr" s="7">
        <is>
          <t xml:space="preserve">Teams needed with engineer</t>
        </is>
      </c>
      <c r="B26" s="8">
        <f>CEILING(('Monthly operating and hiring fo'!B21+'Monthly operating and hiring fo'!B20+'Monthly operating and hiring fo'!B22+'Pricing and operating assumptio'!B15)/'Monthly operating and hiring fo'!B24,1)</f>
        <v>34</v>
      </c>
      <c r="C26" s="8">
        <f>CEILING(('Monthly operating and hiring fo'!C21+'Monthly operating and hiring fo'!C20+'Monthly operating and hiring fo'!C22+'Pricing and operating assumptio'!B15)/'Monthly operating and hiring fo'!C24,1)</f>
        <v>34</v>
      </c>
      <c r="D26" s="8">
        <f>CEILING(('Monthly operating and hiring fo'!D21+'Monthly operating and hiring fo'!D20+'Monthly operating and hiring fo'!D22+'Pricing and operating assumptio'!B15)/'Monthly operating and hiring fo'!D24,1)</f>
        <v>34</v>
      </c>
      <c r="E26" s="8">
        <f>CEILING(('Monthly operating and hiring fo'!E21+'Monthly operating and hiring fo'!E20+'Monthly operating and hiring fo'!E22+'Pricing and operating assumptio'!B15)/'Monthly operating and hiring fo'!E24,1)</f>
        <v>34</v>
      </c>
      <c r="F26" s="8">
        <f>CEILING(('Monthly operating and hiring fo'!F21+'Monthly operating and hiring fo'!F20+'Monthly operating and hiring fo'!F22+'Pricing and operating assumptio'!B15)/'Monthly operating and hiring fo'!F24,1)</f>
        <v>34</v>
      </c>
      <c r="G26" s="8">
        <f>CEILING(('Monthly operating and hiring fo'!G21+'Monthly operating and hiring fo'!G20+'Monthly operating and hiring fo'!G22+'Pricing and operating assumptio'!B15)/'Monthly operating and hiring fo'!G24,1)</f>
        <v>34</v>
      </c>
      <c r="H26" s="8">
        <f>CEILING(('Monthly operating and hiring fo'!H21+'Monthly operating and hiring fo'!H20+'Monthly operating and hiring fo'!H22+'Pricing and operating assumptio'!B15)/'Monthly operating and hiring fo'!H24,1)</f>
        <v>56</v>
      </c>
      <c r="I26" s="8">
        <f>CEILING(('Monthly operating and hiring fo'!I21+'Monthly operating and hiring fo'!I20+'Monthly operating and hiring fo'!I22+'Pricing and operating assumptio'!B15)/'Monthly operating and hiring fo'!I24,1)</f>
        <v>56</v>
      </c>
      <c r="J26" s="8">
        <f>CEILING(('Monthly operating and hiring fo'!J21+'Monthly operating and hiring fo'!J20+'Monthly operating and hiring fo'!J22+'Pricing and operating assumptio'!B15)/'Monthly operating and hiring fo'!J24,1)</f>
        <v>56</v>
      </c>
      <c r="K26" s="8">
        <f>CEILING(('Monthly operating and hiring fo'!K21+'Monthly operating and hiring fo'!K20+'Monthly operating and hiring fo'!K22+'Pricing and operating assumptio'!B15)/'Monthly operating and hiring fo'!K24,1)</f>
        <v>56</v>
      </c>
      <c r="L26" s="8">
        <f>CEILING(('Monthly operating and hiring fo'!L21+'Monthly operating and hiring fo'!L20+'Monthly operating and hiring fo'!L22+'Pricing and operating assumptio'!B15)/'Monthly operating and hiring fo'!L24,1)</f>
        <v>56</v>
      </c>
      <c r="M26" s="8">
        <f>CEILING(('Monthly operating and hiring fo'!M21+'Monthly operating and hiring fo'!M20+'Monthly operating and hiring fo'!M22+'Pricing and operating assumptio'!B15)/'Monthly operating and hiring fo'!M24,1)</f>
        <v>56</v>
      </c>
    </row>
    <row r="27">
      <c r="A27" t="inlineStr" s="7">
        <is>
          <t xml:space="preserve">Engineer hired</t>
        </is>
      </c>
      <c r="B27" s="8">
        <f>IF(IF(IF(ISERROR('Monthly operating and hiring fo'!B9&lt;'Pricing and operating assumptio'!B16),'Monthly operating and hiring fo'!B9&lt;'Pricing and operating assumptio'!B16,IF(OR('Monthly operating and hiring fo'!B9="",'Pricing and operating assumptio'!B16=""),"",'Monthly operating and hiring fo'!B9&lt;'Pricing and operating assumptio'!B16))="",FALSE,IF(ISERROR('Monthly operating and hiring fo'!B9&lt;'Pricing and operating assumptio'!B16),'Monthly operating and hiring fo'!B9&lt;'Pricing and operating assumptio'!B16,IF(OR('Monthly operating and hiring fo'!B9="",'Pricing and operating assumptio'!B16=""),"",'Monthly operating and hiring fo'!B9&lt;'Pricing and operating assumptio'!B16))),0,IF(IF(IF(IFERROR(IF(ISERROR('Model inputs'!B24=1),'Model inputs'!B24=1,IF('Model inputs'!B24="","",'Model inputs'!B24=1))=TRUE,FALSE),TRUE,IF(IFERROR('Model inputs'!B167=TRUE,FALSE),TRUE,IF(OR(IF(ISERROR('Model inputs'!B24=1),'Model inputs'!B24=1,IF('Model inputs'!B24="","",'Model inputs'!B24=1))="",'Model inputs'!B167=""),"",OR(IF(ISERROR('Model inputs'!B24=1),'Model inputs'!B24=1,IF('Model inputs'!B24="","",'Model inputs'!B24=1)),'Model inputs'!B167))))="",FALSE,IF(IFERROR(IF(ISERROR('Model inputs'!B24=1),'Model inputs'!B24=1,IF('Model inputs'!B24="","",'Model inputs'!B24=1))=TRUE,FALSE),TRUE,IF(IFERROR('Model inputs'!B167=TRUE,FALSE),TRUE,IF(OR(IF(ISERROR('Model inputs'!B24=1),'Model inputs'!B24=1,IF('Model inputs'!B24="","",'Model inputs'!B24=1))="",'Model inputs'!B167=""),"",OR(IF(ISERROR('Model inputs'!B24=1),'Model inputs'!B24=1,IF('Model inputs'!B24="","",'Model inputs'!B24=1)),'Model inputs'!B167))))),1,0))</f>
        <v>0</v>
      </c>
      <c r="C27" s="8">
        <f>IF(IF(IF(ISERROR('Monthly operating and hiring fo'!C9&lt;'Pricing and operating assumptio'!B16),'Monthly operating and hiring fo'!C9&lt;'Pricing and operating assumptio'!B16,IF(OR('Monthly operating and hiring fo'!C9="",'Pricing and operating assumptio'!B16=""),"",'Monthly operating and hiring fo'!C9&lt;'Pricing and operating assumptio'!B16))="",FALSE,IF(ISERROR('Monthly operating and hiring fo'!C9&lt;'Pricing and operating assumptio'!B16),'Monthly operating and hiring fo'!C9&lt;'Pricing and operating assumptio'!B16,IF(OR('Monthly operating and hiring fo'!C9="",'Pricing and operating assumptio'!B16=""),"",'Monthly operating and hiring fo'!C9&lt;'Pricing and operating assumptio'!B16))),0,IF(IF(IF(IFERROR('Model inputs'!B168=TRUE,FALSE),TRUE,IF(IFERROR('Model inputs'!B169=TRUE,FALSE),TRUE,IF(OR('Model inputs'!B168="",'Model inputs'!B169=""),"",OR('Model inputs'!B168,'Model inputs'!B169))))="",FALSE,IF(IFERROR('Model inputs'!B168=TRUE,FALSE),TRUE,IF(IFERROR('Model inputs'!B169=TRUE,FALSE),TRUE,IF(OR('Model inputs'!B168="",'Model inputs'!B169=""),"",OR('Model inputs'!B168,'Model inputs'!B169))))),1,0))</f>
        <v>0</v>
      </c>
      <c r="D27" s="8">
        <f>IF(IF(IF(ISERROR('Monthly operating and hiring fo'!D9&lt;'Pricing and operating assumptio'!B16),'Monthly operating and hiring fo'!D9&lt;'Pricing and operating assumptio'!B16,IF(OR('Monthly operating and hiring fo'!D9="",'Pricing and operating assumptio'!B16=""),"",'Monthly operating and hiring fo'!D9&lt;'Pricing and operating assumptio'!B16))="",FALSE,IF(ISERROR('Monthly operating and hiring fo'!D9&lt;'Pricing and operating assumptio'!B16),'Monthly operating and hiring fo'!D9&lt;'Pricing and operating assumptio'!B16,IF(OR('Monthly operating and hiring fo'!D9="",'Pricing and operating assumptio'!B16=""),"",'Monthly operating and hiring fo'!D9&lt;'Pricing and operating assumptio'!B16))),0,IF(IF(IF(IFERROR('Model inputs'!B170=TRUE,FALSE),TRUE,IF(IFERROR('Model inputs'!B171=TRUE,FALSE),TRUE,IF(OR('Model inputs'!B170="",'Model inputs'!B171=""),"",OR('Model inputs'!B170,'Model inputs'!B171))))="",FALSE,IF(IFERROR('Model inputs'!B170=TRUE,FALSE),TRUE,IF(IFERROR('Model inputs'!B171=TRUE,FALSE),TRUE,IF(OR('Model inputs'!B170="",'Model inputs'!B171=""),"",OR('Model inputs'!B170,'Model inputs'!B171))))),1,0))</f>
        <v>0</v>
      </c>
      <c r="E27" s="8">
        <f>IF(IF(IF(ISERROR('Monthly operating and hiring fo'!E9&lt;'Pricing and operating assumptio'!B16),'Monthly operating and hiring fo'!E9&lt;'Pricing and operating assumptio'!B16,IF(OR('Monthly operating and hiring fo'!E9="",'Pricing and operating assumptio'!B16=""),"",'Monthly operating and hiring fo'!E9&lt;'Pricing and operating assumptio'!B16))="",FALSE,IF(ISERROR('Monthly operating and hiring fo'!E9&lt;'Pricing and operating assumptio'!B16),'Monthly operating and hiring fo'!E9&lt;'Pricing and operating assumptio'!B16,IF(OR('Monthly operating and hiring fo'!E9="",'Pricing and operating assumptio'!B16=""),"",'Monthly operating and hiring fo'!E9&lt;'Pricing and operating assumptio'!B16))),0,IF(IF(IF(IFERROR('Model inputs'!B172=TRUE,FALSE),TRUE,IF(IFERROR('Model inputs'!B173=TRUE,FALSE),TRUE,IF(OR('Model inputs'!B172="",'Model inputs'!B173=""),"",OR('Model inputs'!B172,'Model inputs'!B173))))="",FALSE,IF(IFERROR('Model inputs'!B172=TRUE,FALSE),TRUE,IF(IFERROR('Model inputs'!B173=TRUE,FALSE),TRUE,IF(OR('Model inputs'!B172="",'Model inputs'!B173=""),"",OR('Model inputs'!B172,'Model inputs'!B173))))),1,0))</f>
        <v>0</v>
      </c>
      <c r="F27" s="8">
        <f>IF(IF(IF(ISERROR('Monthly operating and hiring fo'!F9&lt;'Pricing and operating assumptio'!B16),'Monthly operating and hiring fo'!F9&lt;'Pricing and operating assumptio'!B16,IF(OR('Monthly operating and hiring fo'!F9="",'Pricing and operating assumptio'!B16=""),"",'Monthly operating and hiring fo'!F9&lt;'Pricing and operating assumptio'!B16))="",FALSE,IF(ISERROR('Monthly operating and hiring fo'!F9&lt;'Pricing and operating assumptio'!B16),'Monthly operating and hiring fo'!F9&lt;'Pricing and operating assumptio'!B16,IF(OR('Monthly operating and hiring fo'!F9="",'Pricing and operating assumptio'!B16=""),"",'Monthly operating and hiring fo'!F9&lt;'Pricing and operating assumptio'!B16))),0,IF(IF(IF(IFERROR('Model inputs'!B174=TRUE,FALSE),TRUE,IF(IFERROR('Model inputs'!B175=TRUE,FALSE),TRUE,IF(OR('Model inputs'!B174="",'Model inputs'!B175=""),"",OR('Model inputs'!B174,'Model inputs'!B175))))="",FALSE,IF(IFERROR('Model inputs'!B174=TRUE,FALSE),TRUE,IF(IFERROR('Model inputs'!B175=TRUE,FALSE),TRUE,IF(OR('Model inputs'!B174="",'Model inputs'!B175=""),"",OR('Model inputs'!B174,'Model inputs'!B175))))),1,0))</f>
        <v>0</v>
      </c>
      <c r="G27" s="8">
        <f>IF(IF(IF(ISERROR('Monthly operating and hiring fo'!G9&lt;'Pricing and operating assumptio'!B16),'Monthly operating and hiring fo'!G9&lt;'Pricing and operating assumptio'!B16,IF(OR('Monthly operating and hiring fo'!G9="",'Pricing and operating assumptio'!B16=""),"",'Monthly operating and hiring fo'!G9&lt;'Pricing and operating assumptio'!B16))="",FALSE,IF(ISERROR('Monthly operating and hiring fo'!G9&lt;'Pricing and operating assumptio'!B16),'Monthly operating and hiring fo'!G9&lt;'Pricing and operating assumptio'!B16,IF(OR('Monthly operating and hiring fo'!G9="",'Pricing and operating assumptio'!B16=""),"",'Monthly operating and hiring fo'!G9&lt;'Pricing and operating assumptio'!B16))),0,IF(IF(IF(IFERROR('Model inputs'!B176=TRUE,FALSE),TRUE,IF(IFERROR('Model inputs'!B177=TRUE,FALSE),TRUE,IF(OR('Model inputs'!B176="",'Model inputs'!B177=""),"",OR('Model inputs'!B176,'Model inputs'!B177))))="",FALSE,IF(IFERROR('Model inputs'!B176=TRUE,FALSE),TRUE,IF(IFERROR('Model inputs'!B177=TRUE,FALSE),TRUE,IF(OR('Model inputs'!B176="",'Model inputs'!B177=""),"",OR('Model inputs'!B176,'Model inputs'!B177))))),1,0))</f>
        <v>0</v>
      </c>
      <c r="H27" s="8">
        <f>IF(IF(IF(ISERROR('Monthly operating and hiring fo'!H9&lt;'Pricing and operating assumptio'!B16),'Monthly operating and hiring fo'!H9&lt;'Pricing and operating assumptio'!B16,IF(OR('Monthly operating and hiring fo'!H9="",'Pricing and operating assumptio'!B16=""),"",'Monthly operating and hiring fo'!H9&lt;'Pricing and operating assumptio'!B16))="",FALSE,IF(ISERROR('Monthly operating and hiring fo'!H9&lt;'Pricing and operating assumptio'!B16),'Monthly operating and hiring fo'!H9&lt;'Pricing and operating assumptio'!B16,IF(OR('Monthly operating and hiring fo'!H9="",'Pricing and operating assumptio'!B16=""),"",'Monthly operating and hiring fo'!H9&lt;'Pricing and operating assumptio'!B16))),0,IF(IF(IF(IFERROR('Model inputs'!B178=TRUE,FALSE),TRUE,IF(IFERROR('Model inputs'!B179=TRUE,FALSE),TRUE,IF(OR('Model inputs'!B178="",'Model inputs'!B179=""),"",OR('Model inputs'!B178,'Model inputs'!B179))))="",FALSE,IF(IFERROR('Model inputs'!B178=TRUE,FALSE),TRUE,IF(IFERROR('Model inputs'!B179=TRUE,FALSE),TRUE,IF(OR('Model inputs'!B178="",'Model inputs'!B179=""),"",OR('Model inputs'!B178,'Model inputs'!B179))))),1,0))</f>
        <v>0</v>
      </c>
      <c r="I27" s="8">
        <f>IF(IF(IF(ISERROR('Monthly operating and hiring fo'!I9&lt;'Pricing and operating assumptio'!B16),'Monthly operating and hiring fo'!I9&lt;'Pricing and operating assumptio'!B16,IF(OR('Monthly operating and hiring fo'!I9="",'Pricing and operating assumptio'!B16=""),"",'Monthly operating and hiring fo'!I9&lt;'Pricing and operating assumptio'!B16))="",FALSE,IF(ISERROR('Monthly operating and hiring fo'!I9&lt;'Pricing and operating assumptio'!B16),'Monthly operating and hiring fo'!I9&lt;'Pricing and operating assumptio'!B16,IF(OR('Monthly operating and hiring fo'!I9="",'Pricing and operating assumptio'!B16=""),"",'Monthly operating and hiring fo'!I9&lt;'Pricing and operating assumptio'!B16))),0,IF(IF(IF(IFERROR('Model inputs'!B180=TRUE,FALSE),TRUE,IF(IFERROR('Model inputs'!B181=TRUE,FALSE),TRUE,IF(OR('Model inputs'!B180="",'Model inputs'!B181=""),"",OR('Model inputs'!B180,'Model inputs'!B181))))="",FALSE,IF(IFERROR('Model inputs'!B180=TRUE,FALSE),TRUE,IF(IFERROR('Model inputs'!B181=TRUE,FALSE),TRUE,IF(OR('Model inputs'!B180="",'Model inputs'!B181=""),"",OR('Model inputs'!B180,'Model inputs'!B181))))),1,0))</f>
        <v>0</v>
      </c>
      <c r="J27" s="8">
        <f>IF(IF(IF(ISERROR('Monthly operating and hiring fo'!J9&lt;'Pricing and operating assumptio'!B16),'Monthly operating and hiring fo'!J9&lt;'Pricing and operating assumptio'!B16,IF(OR('Monthly operating and hiring fo'!J9="",'Pricing and operating assumptio'!B16=""),"",'Monthly operating and hiring fo'!J9&lt;'Pricing and operating assumptio'!B16))="",FALSE,IF(ISERROR('Monthly operating and hiring fo'!J9&lt;'Pricing and operating assumptio'!B16),'Monthly operating and hiring fo'!J9&lt;'Pricing and operating assumptio'!B16,IF(OR('Monthly operating and hiring fo'!J9="",'Pricing and operating assumptio'!B16=""),"",'Monthly operating and hiring fo'!J9&lt;'Pricing and operating assumptio'!B16))),0,IF(IF(IF(IFERROR('Model inputs'!B182=TRUE,FALSE),TRUE,IF(IFERROR('Model inputs'!B183=TRUE,FALSE),TRUE,IF(OR('Model inputs'!B182="",'Model inputs'!B183=""),"",OR('Model inputs'!B182,'Model inputs'!B183))))="",FALSE,IF(IFERROR('Model inputs'!B182=TRUE,FALSE),TRUE,IF(IFERROR('Model inputs'!B183=TRUE,FALSE),TRUE,IF(OR('Model inputs'!B182="",'Model inputs'!B183=""),"",OR('Model inputs'!B182,'Model inputs'!B183))))),1,0))</f>
        <v>0</v>
      </c>
      <c r="K27" s="8">
        <f>IF(IF(IF(ISERROR('Monthly operating and hiring fo'!K9&lt;'Pricing and operating assumptio'!B16),'Monthly operating and hiring fo'!K9&lt;'Pricing and operating assumptio'!B16,IF(OR('Monthly operating and hiring fo'!K9="",'Pricing and operating assumptio'!B16=""),"",'Monthly operating and hiring fo'!K9&lt;'Pricing and operating assumptio'!B16))="",FALSE,IF(ISERROR('Monthly operating and hiring fo'!K9&lt;'Pricing and operating assumptio'!B16),'Monthly operating and hiring fo'!K9&lt;'Pricing and operating assumptio'!B16,IF(OR('Monthly operating and hiring fo'!K9="",'Pricing and operating assumptio'!B16=""),"",'Monthly operating and hiring fo'!K9&lt;'Pricing and operating assumptio'!B16))),0,IF(IF(IF(IFERROR('Model inputs'!B184=TRUE,FALSE),TRUE,IF(IFERROR('Model inputs'!B185=TRUE,FALSE),TRUE,IF(OR('Model inputs'!B184="",'Model inputs'!B185=""),"",OR('Model inputs'!B184,'Model inputs'!B185))))="",FALSE,IF(IFERROR('Model inputs'!B184=TRUE,FALSE),TRUE,IF(IFERROR('Model inputs'!B185=TRUE,FALSE),TRUE,IF(OR('Model inputs'!B184="",'Model inputs'!B185=""),"",OR('Model inputs'!B184,'Model inputs'!B185))))),1,0))</f>
        <v>0</v>
      </c>
      <c r="L27" s="8">
        <f>IF(IF(IF(ISERROR('Monthly operating and hiring fo'!L9&lt;'Pricing and operating assumptio'!B16),'Monthly operating and hiring fo'!L9&lt;'Pricing and operating assumptio'!B16,IF(OR('Monthly operating and hiring fo'!L9="",'Pricing and operating assumptio'!B16=""),"",'Monthly operating and hiring fo'!L9&lt;'Pricing and operating assumptio'!B16))="",FALSE,IF(ISERROR('Monthly operating and hiring fo'!L9&lt;'Pricing and operating assumptio'!B16),'Monthly operating and hiring fo'!L9&lt;'Pricing and operating assumptio'!B16,IF(OR('Monthly operating and hiring fo'!L9="",'Pricing and operating assumptio'!B16=""),"",'Monthly operating and hiring fo'!L9&lt;'Pricing and operating assumptio'!B16))),0,IF(IF(IF(IFERROR('Model inputs'!B186=TRUE,FALSE),TRUE,IF(IFERROR('Model inputs'!B187=TRUE,FALSE),TRUE,IF(OR('Model inputs'!B186="",'Model inputs'!B187=""),"",OR('Model inputs'!B186,'Model inputs'!B187))))="",FALSE,IF(IFERROR('Model inputs'!B186=TRUE,FALSE),TRUE,IF(IFERROR('Model inputs'!B187=TRUE,FALSE),TRUE,IF(OR('Model inputs'!B186="",'Model inputs'!B187=""),"",OR('Model inputs'!B186,'Model inputs'!B187))))),1,0))</f>
        <v>0</v>
      </c>
      <c r="M27" s="8">
        <f>IF(IF(IF(ISERROR('Monthly operating and hiring fo'!M9&lt;'Pricing and operating assumptio'!B16),'Monthly operating and hiring fo'!M9&lt;'Pricing and operating assumptio'!B16,IF(OR('Monthly operating and hiring fo'!M9="",'Pricing and operating assumptio'!B16=""),"",'Monthly operating and hiring fo'!M9&lt;'Pricing and operating assumptio'!B16))="",FALSE,IF(ISERROR('Monthly operating and hiring fo'!M9&lt;'Pricing and operating assumptio'!B16),'Monthly operating and hiring fo'!M9&lt;'Pricing and operating assumptio'!B16,IF(OR('Monthly operating and hiring fo'!M9="",'Pricing and operating assumptio'!B16=""),"",'Monthly operating and hiring fo'!M9&lt;'Pricing and operating assumptio'!B16))),0,IF(IF(IF(IFERROR('Model inputs'!B188=TRUE,FALSE),TRUE,IF(IFERROR('Model inputs'!B189=TRUE,FALSE),TRUE,IF(OR('Model inputs'!B188="",'Model inputs'!B189=""),"",OR('Model inputs'!B188,'Model inputs'!B189))))="",FALSE,IF(IFERROR('Model inputs'!B188=TRUE,FALSE),TRUE,IF(IFERROR('Model inputs'!B189=TRUE,FALSE),TRUE,IF(OR('Model inputs'!B188="",'Model inputs'!B189=""),"",OR('Model inputs'!B188,'Model inputs'!B189))))),1,0))</f>
        <v>0</v>
      </c>
    </row>
    <row r="28">
      <c r="A28" t="inlineStr" s="7">
        <is>
          <t xml:space="preserve">Engineer cost</t>
        </is>
      </c>
      <c r="B28" s="12">
        <f>'Monthly operating and hiring fo'!B27*'Pricing and operating assumptio'!B15</f>
        <v>0</v>
      </c>
      <c r="C28" s="12">
        <f>'Monthly operating and hiring fo'!C27*'Pricing and operating assumptio'!B15</f>
        <v>0</v>
      </c>
      <c r="D28" s="12">
        <f>'Monthly operating and hiring fo'!D27*'Pricing and operating assumptio'!B15</f>
        <v>0</v>
      </c>
      <c r="E28" s="12">
        <f>'Monthly operating and hiring fo'!E27*'Pricing and operating assumptio'!B15</f>
        <v>0</v>
      </c>
      <c r="F28" s="12">
        <f>'Monthly operating and hiring fo'!F27*'Pricing and operating assumptio'!B15</f>
        <v>0</v>
      </c>
      <c r="G28" s="12">
        <f>'Monthly operating and hiring fo'!G27*'Pricing and operating assumptio'!B15</f>
        <v>0</v>
      </c>
      <c r="H28" s="12">
        <f>'Monthly operating and hiring fo'!H27*'Pricing and operating assumptio'!B15</f>
        <v>0</v>
      </c>
      <c r="I28" s="12">
        <f>'Monthly operating and hiring fo'!I27*'Pricing and operating assumptio'!B15</f>
        <v>0</v>
      </c>
      <c r="J28" s="12">
        <f>'Monthly operating and hiring fo'!J27*'Pricing and operating assumptio'!B15</f>
        <v>0</v>
      </c>
      <c r="K28" s="12">
        <f>'Monthly operating and hiring fo'!K27*'Pricing and operating assumptio'!B15</f>
        <v>0</v>
      </c>
      <c r="L28" s="12">
        <f>'Monthly operating and hiring fo'!L27*'Pricing and operating assumptio'!B15</f>
        <v>0</v>
      </c>
      <c r="M28" s="12">
        <f>'Monthly operating and hiring fo'!M27*'Pricing and operating assumptio'!B15</f>
        <v>0</v>
      </c>
    </row>
    <row r="29">
      <c r="A29" t="inlineStr" s="7">
        <is>
          <t xml:space="preserve">Operating cash flow</t>
        </is>
      </c>
      <c r="B29" s="12">
        <f>'Monthly operating and hiring fo'!B23-'Monthly operating and hiring fo'!B28</f>
        <v>-154.5</v>
      </c>
      <c r="C29" s="12">
        <f>'Monthly operating and hiring fo'!C23-'Monthly operating and hiring fo'!C28</f>
        <v>25</v>
      </c>
      <c r="D29" s="12">
        <f>'Monthly operating and hiring fo'!D23-'Monthly operating and hiring fo'!D28</f>
        <v>203</v>
      </c>
      <c r="E29" s="12">
        <f>'Monthly operating and hiring fo'!E23-'Monthly operating and hiring fo'!E28</f>
        <v>387</v>
      </c>
      <c r="F29" s="12">
        <f>'Monthly operating and hiring fo'!F23-'Monthly operating and hiring fo'!F28</f>
        <v>571</v>
      </c>
      <c r="G29" s="12">
        <f>'Monthly operating and hiring fo'!G23-'Monthly operating and hiring fo'!G28</f>
        <v>755</v>
      </c>
      <c r="H29" s="12">
        <f>'Monthly operating and hiring fo'!H23-'Monthly operating and hiring fo'!H28</f>
        <v>-2693</v>
      </c>
      <c r="I29" s="12">
        <f>'Monthly operating and hiring fo'!I23-'Monthly operating and hiring fo'!I28</f>
        <v>-2141</v>
      </c>
      <c r="J29" s="12">
        <f>'Monthly operating and hiring fo'!J23-'Monthly operating and hiring fo'!J28</f>
        <v>-1405</v>
      </c>
      <c r="K29" s="12">
        <f>'Monthly operating and hiring fo'!K23-'Monthly operating and hiring fo'!K28</f>
        <v>-485</v>
      </c>
      <c r="L29" s="12">
        <f>'Monthly operating and hiring fo'!L23-'Monthly operating and hiring fo'!L28</f>
        <v>435</v>
      </c>
      <c r="M29" s="12">
        <f>'Monthly operating and hiring fo'!M23-'Monthly operating and hiring fo'!M28</f>
        <v>1355</v>
      </c>
    </row>
    <row r="30">
      <c r="A30" t="inlineStr" s="7">
        <is>
          <t xml:space="preserve">Cumulative operating cash</t>
        </is>
      </c>
      <c r="B30" s="12">
        <f>IF(IF(IF(ISERROR('Monthly operating and hiring fo'!B9=1),'Monthly operating and hiring fo'!B9=1,IF('Monthly operating and hiring fo'!B9="","",'Monthly operating and hiring fo'!B9=1))="",FALSE,IF(ISERROR('Monthly operating and hiring fo'!B9=1),'Monthly operating and hiring fo'!B9=1,IF('Monthly operating and hiring fo'!B9="","",'Monthly operating and hiring fo'!B9=1))),IF('Monthly operating and hiring fo'!B29="","",'Monthly operating and hiring fo'!B29),'Model inputs'!B15+'Monthly operating and hiring fo'!B29)</f>
        <v>-154.5</v>
      </c>
      <c r="C30" s="12">
        <f>IF(IF(IF(ISERROR('Monthly operating and hiring fo'!C9=1),'Monthly operating and hiring fo'!C9=1,IF('Monthly operating and hiring fo'!C9="","",'Monthly operating and hiring fo'!C9=1))="",FALSE,IF(ISERROR('Monthly operating and hiring fo'!C9=1),'Monthly operating and hiring fo'!C9=1,IF('Monthly operating and hiring fo'!C9="","",'Monthly operating and hiring fo'!C9=1))),IF('Monthly operating and hiring fo'!C29="","",'Monthly operating and hiring fo'!C29),'Monthly operating and hiring fo'!B30+'Monthly operating and hiring fo'!C29)</f>
        <v>-129.5</v>
      </c>
      <c r="D30" s="12">
        <f>IF(IF(IF(ISERROR('Monthly operating and hiring fo'!D9=1),'Monthly operating and hiring fo'!D9=1,IF('Monthly operating and hiring fo'!D9="","",'Monthly operating and hiring fo'!D9=1))="",FALSE,IF(ISERROR('Monthly operating and hiring fo'!D9=1),'Monthly operating and hiring fo'!D9=1,IF('Monthly operating and hiring fo'!D9="","",'Monthly operating and hiring fo'!D9=1))),IF('Monthly operating and hiring fo'!D29="","",'Monthly operating and hiring fo'!D29),'Monthly operating and hiring fo'!C30+'Monthly operating and hiring fo'!D29)</f>
        <v>73.5</v>
      </c>
      <c r="E30" s="12">
        <f>IF(IF(IF(ISERROR('Monthly operating and hiring fo'!E9=1),'Monthly operating and hiring fo'!E9=1,IF('Monthly operating and hiring fo'!E9="","",'Monthly operating and hiring fo'!E9=1))="",FALSE,IF(ISERROR('Monthly operating and hiring fo'!E9=1),'Monthly operating and hiring fo'!E9=1,IF('Monthly operating and hiring fo'!E9="","",'Monthly operating and hiring fo'!E9=1))),IF('Monthly operating and hiring fo'!E29="","",'Monthly operating and hiring fo'!E29),'Monthly operating and hiring fo'!D30+'Monthly operating and hiring fo'!E29)</f>
        <v>460.5</v>
      </c>
      <c r="F30" s="12">
        <f>IF(IF(IF(ISERROR('Monthly operating and hiring fo'!F9=1),'Monthly operating and hiring fo'!F9=1,IF('Monthly operating and hiring fo'!F9="","",'Monthly operating and hiring fo'!F9=1))="",FALSE,IF(ISERROR('Monthly operating and hiring fo'!F9=1),'Monthly operating and hiring fo'!F9=1,IF('Monthly operating and hiring fo'!F9="","",'Monthly operating and hiring fo'!F9=1))),IF('Monthly operating and hiring fo'!F29="","",'Monthly operating and hiring fo'!F29),'Monthly operating and hiring fo'!E30+'Monthly operating and hiring fo'!F29)</f>
        <v>1031.5</v>
      </c>
      <c r="G30" s="12">
        <f>IF(IF(IF(ISERROR('Monthly operating and hiring fo'!G9=1),'Monthly operating and hiring fo'!G9=1,IF('Monthly operating and hiring fo'!G9="","",'Monthly operating and hiring fo'!G9=1))="",FALSE,IF(ISERROR('Monthly operating and hiring fo'!G9=1),'Monthly operating and hiring fo'!G9=1,IF('Monthly operating and hiring fo'!G9="","",'Monthly operating and hiring fo'!G9=1))),IF('Monthly operating and hiring fo'!G29="","",'Monthly operating and hiring fo'!G29),'Monthly operating and hiring fo'!F30+'Monthly operating and hiring fo'!G29)</f>
        <v>1786.5</v>
      </c>
      <c r="H30" s="12">
        <f>IF(IF(IF(ISERROR('Monthly operating and hiring fo'!H9=1),'Monthly operating and hiring fo'!H9=1,IF('Monthly operating and hiring fo'!H9="","",'Monthly operating and hiring fo'!H9=1))="",FALSE,IF(ISERROR('Monthly operating and hiring fo'!H9=1),'Monthly operating and hiring fo'!H9=1,IF('Monthly operating and hiring fo'!H9="","",'Monthly operating and hiring fo'!H9=1))),IF('Monthly operating and hiring fo'!H29="","",'Monthly operating and hiring fo'!H29),'Monthly operating and hiring fo'!G30+'Monthly operating and hiring fo'!H29)</f>
        <v>-906.5</v>
      </c>
      <c r="I30" s="12">
        <f>IF(IF(IF(ISERROR('Monthly operating and hiring fo'!I9=1),'Monthly operating and hiring fo'!I9=1,IF('Monthly operating and hiring fo'!I9="","",'Monthly operating and hiring fo'!I9=1))="",FALSE,IF(ISERROR('Monthly operating and hiring fo'!I9=1),'Monthly operating and hiring fo'!I9=1,IF('Monthly operating and hiring fo'!I9="","",'Monthly operating and hiring fo'!I9=1))),IF('Monthly operating and hiring fo'!I29="","",'Monthly operating and hiring fo'!I29),'Monthly operating and hiring fo'!H30+'Monthly operating and hiring fo'!I29)</f>
        <v>-3047.5</v>
      </c>
      <c r="J30" s="12">
        <f>IF(IF(IF(ISERROR('Monthly operating and hiring fo'!J9=1),'Monthly operating and hiring fo'!J9=1,IF('Monthly operating and hiring fo'!J9="","",'Monthly operating and hiring fo'!J9=1))="",FALSE,IF(ISERROR('Monthly operating and hiring fo'!J9=1),'Monthly operating and hiring fo'!J9=1,IF('Monthly operating and hiring fo'!J9="","",'Monthly operating and hiring fo'!J9=1))),IF('Monthly operating and hiring fo'!J29="","",'Monthly operating and hiring fo'!J29),'Monthly operating and hiring fo'!I30+'Monthly operating and hiring fo'!J29)</f>
        <v>-4452.5</v>
      </c>
      <c r="K30" s="12">
        <f>IF(IF(IF(ISERROR('Monthly operating and hiring fo'!K9=1),'Monthly operating and hiring fo'!K9=1,IF('Monthly operating and hiring fo'!K9="","",'Monthly operating and hiring fo'!K9=1))="",FALSE,IF(ISERROR('Monthly operating and hiring fo'!K9=1),'Monthly operating and hiring fo'!K9=1,IF('Monthly operating and hiring fo'!K9="","",'Monthly operating and hiring fo'!K9=1))),IF('Monthly operating and hiring fo'!K29="","",'Monthly operating and hiring fo'!K29),'Monthly operating and hiring fo'!J30+'Monthly operating and hiring fo'!K29)</f>
        <v>-4937.5</v>
      </c>
      <c r="L30" s="12">
        <f>IF(IF(IF(ISERROR('Monthly operating and hiring fo'!L9=1),'Monthly operating and hiring fo'!L9=1,IF('Monthly operating and hiring fo'!L9="","",'Monthly operating and hiring fo'!L9=1))="",FALSE,IF(ISERROR('Monthly operating and hiring fo'!L9=1),'Monthly operating and hiring fo'!L9=1,IF('Monthly operating and hiring fo'!L9="","",'Monthly operating and hiring fo'!L9=1))),IF('Monthly operating and hiring fo'!L29="","",'Monthly operating and hiring fo'!L29),'Monthly operating and hiring fo'!K30+'Monthly operating and hiring fo'!L29)</f>
        <v>-4502.5</v>
      </c>
      <c r="M30" s="12">
        <f>IF(IF(IF(ISERROR('Monthly operating and hiring fo'!M9=1),'Monthly operating and hiring fo'!M9=1,IF('Monthly operating and hiring fo'!M9="","",'Monthly operating and hiring fo'!M9=1))="",FALSE,IF(ISERROR('Monthly operating and hiring fo'!M9=1),'Monthly operating and hiring fo'!M9=1,IF('Monthly operating and hiring fo'!M9="","",'Monthly operating and hiring fo'!M9=1))),IF('Monthly operating and hiring fo'!M29="","",'Monthly operating and hiring fo'!M29),'Monthly operating and hiring fo'!L30+'Monthly operating and hiring fo'!M29)</f>
        <v>-3147.5</v>
      </c>
    </row>
    <row r="31">
      <c r="A31" t="inlineStr" s="7">
        <is>
          <t xml:space="preserve">Minimum funding to date</t>
        </is>
      </c>
      <c r="B31" s="12">
        <f>IF(IF(IF(ISERROR('Monthly operating and hiring fo'!B9=1),'Monthly operating and hiring fo'!B9=1,IF('Monthly operating and hiring fo'!B9="","",'Monthly operating and hiring fo'!B9=1))="",FALSE,IF(ISERROR('Monthly operating and hiring fo'!B9=1),'Monthly operating and hiring fo'!B9=1,IF('Monthly operating and hiring fo'!B9="","",'Monthly operating and hiring fo'!B9=1))),MAX(0,-'Monthly operating and hiring fo'!B30),MAX(0,-'Monthly operating and hiring fo'!B30,'Model inputs'!B44))</f>
        <v>154.5</v>
      </c>
      <c r="C31" s="12">
        <f>IF(IF(IF(ISERROR('Monthly operating and hiring fo'!C9=1),'Monthly operating and hiring fo'!C9=1,IF('Monthly operating and hiring fo'!C9="","",'Monthly operating and hiring fo'!C9=1))="",FALSE,IF(ISERROR('Monthly operating and hiring fo'!C9=1),'Monthly operating and hiring fo'!C9=1,IF('Monthly operating and hiring fo'!C9="","",'Monthly operating and hiring fo'!C9=1))),MAX(0,-'Monthly operating and hiring fo'!C30),MAX(0,-'Monthly operating and hiring fo'!C30,'Monthly operating and hiring fo'!B31))</f>
        <v>154.5</v>
      </c>
      <c r="D31" s="12">
        <f>IF(IF(IF(ISERROR('Monthly operating and hiring fo'!D9=1),'Monthly operating and hiring fo'!D9=1,IF('Monthly operating and hiring fo'!D9="","",'Monthly operating and hiring fo'!D9=1))="",FALSE,IF(ISERROR('Monthly operating and hiring fo'!D9=1),'Monthly operating and hiring fo'!D9=1,IF('Monthly operating and hiring fo'!D9="","",'Monthly operating and hiring fo'!D9=1))),MAX(0,-'Monthly operating and hiring fo'!D30),MAX(0,-'Monthly operating and hiring fo'!D30,'Monthly operating and hiring fo'!C31))</f>
        <v>154.5</v>
      </c>
      <c r="E31" s="12">
        <f>IF(IF(IF(ISERROR('Monthly operating and hiring fo'!E9=1),'Monthly operating and hiring fo'!E9=1,IF('Monthly operating and hiring fo'!E9="","",'Monthly operating and hiring fo'!E9=1))="",FALSE,IF(ISERROR('Monthly operating and hiring fo'!E9=1),'Monthly operating and hiring fo'!E9=1,IF('Monthly operating and hiring fo'!E9="","",'Monthly operating and hiring fo'!E9=1))),MAX(0,-'Monthly operating and hiring fo'!E30),MAX(0,-'Monthly operating and hiring fo'!E30,'Monthly operating and hiring fo'!D31))</f>
        <v>154.5</v>
      </c>
      <c r="F31" s="12">
        <f>IF(IF(IF(ISERROR('Monthly operating and hiring fo'!F9=1),'Monthly operating and hiring fo'!F9=1,IF('Monthly operating and hiring fo'!F9="","",'Monthly operating and hiring fo'!F9=1))="",FALSE,IF(ISERROR('Monthly operating and hiring fo'!F9=1),'Monthly operating and hiring fo'!F9=1,IF('Monthly operating and hiring fo'!F9="","",'Monthly operating and hiring fo'!F9=1))),MAX(0,-'Monthly operating and hiring fo'!F30),MAX(0,-'Monthly operating and hiring fo'!F30,'Monthly operating and hiring fo'!E31))</f>
        <v>154.5</v>
      </c>
      <c r="G31" s="12">
        <f>IF(IF(IF(ISERROR('Monthly operating and hiring fo'!G9=1),'Monthly operating and hiring fo'!G9=1,IF('Monthly operating and hiring fo'!G9="","",'Monthly operating and hiring fo'!G9=1))="",FALSE,IF(ISERROR('Monthly operating and hiring fo'!G9=1),'Monthly operating and hiring fo'!G9=1,IF('Monthly operating and hiring fo'!G9="","",'Monthly operating and hiring fo'!G9=1))),MAX(0,-'Monthly operating and hiring fo'!G30),MAX(0,-'Monthly operating and hiring fo'!G30,'Monthly operating and hiring fo'!F31))</f>
        <v>154.5</v>
      </c>
      <c r="H31" s="12">
        <f>IF(IF(IF(ISERROR('Monthly operating and hiring fo'!H9=1),'Monthly operating and hiring fo'!H9=1,IF('Monthly operating and hiring fo'!H9="","",'Monthly operating and hiring fo'!H9=1))="",FALSE,IF(ISERROR('Monthly operating and hiring fo'!H9=1),'Monthly operating and hiring fo'!H9=1,IF('Monthly operating and hiring fo'!H9="","",'Monthly operating and hiring fo'!H9=1))),MAX(0,-'Monthly operating and hiring fo'!H30),MAX(0,-'Monthly operating and hiring fo'!H30,'Monthly operating and hiring fo'!G31))</f>
        <v>906.5</v>
      </c>
      <c r="I31" s="12">
        <f>IF(IF(IF(ISERROR('Monthly operating and hiring fo'!I9=1),'Monthly operating and hiring fo'!I9=1,IF('Monthly operating and hiring fo'!I9="","",'Monthly operating and hiring fo'!I9=1))="",FALSE,IF(ISERROR('Monthly operating and hiring fo'!I9=1),'Monthly operating and hiring fo'!I9=1,IF('Monthly operating and hiring fo'!I9="","",'Monthly operating and hiring fo'!I9=1))),MAX(0,-'Monthly operating and hiring fo'!I30),MAX(0,-'Monthly operating and hiring fo'!I30,'Monthly operating and hiring fo'!H31))</f>
        <v>3047.5</v>
      </c>
      <c r="J31" s="12">
        <f>IF(IF(IF(ISERROR('Monthly operating and hiring fo'!J9=1),'Monthly operating and hiring fo'!J9=1,IF('Monthly operating and hiring fo'!J9="","",'Monthly operating and hiring fo'!J9=1))="",FALSE,IF(ISERROR('Monthly operating and hiring fo'!J9=1),'Monthly operating and hiring fo'!J9=1,IF('Monthly operating and hiring fo'!J9="","",'Monthly operating and hiring fo'!J9=1))),MAX(0,-'Monthly operating and hiring fo'!J30),MAX(0,-'Monthly operating and hiring fo'!J30,'Monthly operating and hiring fo'!I31))</f>
        <v>4452.5</v>
      </c>
      <c r="K31" s="12">
        <f>IF(IF(IF(ISERROR('Monthly operating and hiring fo'!K9=1),'Monthly operating and hiring fo'!K9=1,IF('Monthly operating and hiring fo'!K9="","",'Monthly operating and hiring fo'!K9=1))="",FALSE,IF(ISERROR('Monthly operating and hiring fo'!K9=1),'Monthly operating and hiring fo'!K9=1,IF('Monthly operating and hiring fo'!K9="","",'Monthly operating and hiring fo'!K9=1))),MAX(0,-'Monthly operating and hiring fo'!K30),MAX(0,-'Monthly operating and hiring fo'!K30,'Monthly operating and hiring fo'!J31))</f>
        <v>4937.5</v>
      </c>
      <c r="L31" s="12">
        <f>IF(IF(IF(ISERROR('Monthly operating and hiring fo'!L9=1),'Monthly operating and hiring fo'!L9=1,IF('Monthly operating and hiring fo'!L9="","",'Monthly operating and hiring fo'!L9=1))="",FALSE,IF(ISERROR('Monthly operating and hiring fo'!L9=1),'Monthly operating and hiring fo'!L9=1,IF('Monthly operating and hiring fo'!L9="","",'Monthly operating and hiring fo'!L9=1))),MAX(0,-'Monthly operating and hiring fo'!L30),MAX(0,-'Monthly operating and hiring fo'!L30,'Monthly operating and hiring fo'!K31))</f>
        <v>4937.5</v>
      </c>
      <c r="M31" s="12">
        <f>IF(IF(IF(ISERROR('Monthly operating and hiring fo'!M9=1),'Monthly operating and hiring fo'!M9=1,IF('Monthly operating and hiring fo'!M9="","",'Monthly operating and hiring fo'!M9=1))="",FALSE,IF(ISERROR('Monthly operating and hiring fo'!M9=1),'Monthly operating and hiring fo'!M9=1,IF('Monthly operating and hiring fo'!M9="","",'Monthly operating and hiring fo'!M9=1))),MAX(0,-'Monthly operating and hiring fo'!M30),MAX(0,-'Monthly operating and hiring fo'!M30,'Monthly operating and hiring fo'!L31))</f>
        <v>4937.5</v>
      </c>
    </row>
    <row r="32">
      <c r="A32" t="inlineStr" s="7">
        <is>
          <t xml:space="preserve">Minimum fix price at target margin</t>
        </is>
      </c>
      <c r="B32" s="12">
        <f>'Pricing and operating assumptio'!B9/(1-'Pricing and operating assumptio'!B10)</f>
        <v>4.999999999999999</v>
      </c>
      <c r="C32" s="12">
        <f>'Pricing and operating assumptio'!B9/(1-'Pricing and operating assumptio'!B10)</f>
        <v>4.999999999999999</v>
      </c>
      <c r="D32" s="12">
        <f>'Pricing and operating assumptio'!B9/(1-'Pricing and operating assumptio'!B10)</f>
        <v>4.999999999999999</v>
      </c>
      <c r="E32" s="12">
        <f>'Pricing and operating assumptio'!B9/(1-'Pricing and operating assumptio'!B10)</f>
        <v>4.999999999999999</v>
      </c>
      <c r="F32" s="12">
        <f>'Pricing and operating assumptio'!B9/(1-'Pricing and operating assumptio'!B10)</f>
        <v>4.999999999999999</v>
      </c>
      <c r="G32" s="12">
        <f>'Pricing and operating assumptio'!B9/(1-'Pricing and operating assumptio'!B10)</f>
        <v>4.999999999999999</v>
      </c>
      <c r="H32" s="12">
        <f>'Pricing and operating assumptio'!B9/(1-'Pricing and operating assumptio'!B10)</f>
        <v>4.999999999999999</v>
      </c>
      <c r="I32" s="12">
        <f>'Pricing and operating assumptio'!B9/(1-'Pricing and operating assumptio'!B10)</f>
        <v>4.999999999999999</v>
      </c>
      <c r="J32" s="12">
        <f>'Pricing and operating assumptio'!B9/(1-'Pricing and operating assumptio'!B10)</f>
        <v>4.999999999999999</v>
      </c>
      <c r="K32" s="12">
        <f>'Pricing and operating assumptio'!B9/(1-'Pricing and operating assumptio'!B10)</f>
        <v>4.999999999999999</v>
      </c>
      <c r="L32" s="12">
        <f>'Pricing and operating assumptio'!B9/(1-'Pricing and operating assumptio'!B10)</f>
        <v>4.999999999999999</v>
      </c>
      <c r="M32" s="12">
        <f>'Pricing and operating assumptio'!B9/(1-'Pricing and operating assumptio'!B10)</f>
        <v>4.999999999999999</v>
      </c>
    </row>
    <row r="33">
      <c r="A33" t="inlineStr" s="7">
        <is>
          <t xml:space="preserve">Full allowance team margin</t>
        </is>
      </c>
      <c r="B33" s="13">
        <f>1-'Pricing and operating assumptio'!B6*'Pricing and operating assumptio'!B9/'Pricing and operating assumptio'!B5</f>
        <v>0.9246231155778895</v>
      </c>
      <c r="C33" s="13">
        <f>1-'Pricing and operating assumptio'!B6*'Pricing and operating assumptio'!B9/'Pricing and operating assumptio'!B5</f>
        <v>0.9246231155778895</v>
      </c>
      <c r="D33" s="13">
        <f>1-'Pricing and operating assumptio'!B6*'Pricing and operating assumptio'!B9/'Pricing and operating assumptio'!B5</f>
        <v>0.9246231155778895</v>
      </c>
      <c r="E33" s="13">
        <f>1-'Pricing and operating assumptio'!B6*'Pricing and operating assumptio'!B9/'Pricing and operating assumptio'!B5</f>
        <v>0.9246231155778895</v>
      </c>
      <c r="F33" s="13">
        <f>1-'Pricing and operating assumptio'!B6*'Pricing and operating assumptio'!B9/'Pricing and operating assumptio'!B5</f>
        <v>0.9246231155778895</v>
      </c>
      <c r="G33" s="13">
        <f>1-'Pricing and operating assumptio'!B6*'Pricing and operating assumptio'!B9/'Pricing and operating assumptio'!B5</f>
        <v>0.9246231155778895</v>
      </c>
      <c r="H33" s="13">
        <f>1-'Pricing and operating assumptio'!B6*'Pricing and operating assumptio'!B9/'Pricing and operating assumptio'!B5</f>
        <v>0.9246231155778895</v>
      </c>
      <c r="I33" s="13">
        <f>1-'Pricing and operating assumptio'!B6*'Pricing and operating assumptio'!B9/'Pricing and operating assumptio'!B5</f>
        <v>0.9246231155778895</v>
      </c>
      <c r="J33" s="13">
        <f>1-'Pricing and operating assumptio'!B6*'Pricing and operating assumptio'!B9/'Pricing and operating assumptio'!B5</f>
        <v>0.9246231155778895</v>
      </c>
      <c r="K33" s="13">
        <f>1-'Pricing and operating assumptio'!B6*'Pricing and operating assumptio'!B9/'Pricing and operating assumptio'!B5</f>
        <v>0.9246231155778895</v>
      </c>
      <c r="L33" s="13">
        <f>1-'Pricing and operating assumptio'!B6*'Pricing and operating assumptio'!B9/'Pricing and operating assumptio'!B5</f>
        <v>0.9246231155778895</v>
      </c>
      <c r="M33" s="13">
        <f>1-'Pricing and operating assumptio'!B6*'Pricing and operating assumptio'!B9/'Pricing and operating assumptio'!B5</f>
        <v>0.9246231155778895</v>
      </c>
    </row>
    <row r="34">
      <c r="A34" t="inlineStr" s="5">
        <is>
          <t xml:space="preserve">Pay per fix gross margin</t>
        </is>
      </c>
      <c r="B34" s="14">
        <f>1-'Pricing and operating assumptio'!B9/'Pricing and operating assumptio'!B8</f>
        <v>0.9693877551020408</v>
      </c>
      <c r="C34" s="14">
        <f>1-'Pricing and operating assumptio'!B9/'Pricing and operating assumptio'!B8</f>
        <v>0.9693877551020408</v>
      </c>
      <c r="D34" s="14">
        <f>1-'Pricing and operating assumptio'!B9/'Pricing and operating assumptio'!B8</f>
        <v>0.9693877551020408</v>
      </c>
      <c r="E34" s="14">
        <f>1-'Pricing and operating assumptio'!B9/'Pricing and operating assumptio'!B8</f>
        <v>0.9693877551020408</v>
      </c>
      <c r="F34" s="14">
        <f>1-'Pricing and operating assumptio'!B9/'Pricing and operating assumptio'!B8</f>
        <v>0.9693877551020408</v>
      </c>
      <c r="G34" s="14">
        <f>1-'Pricing and operating assumptio'!B9/'Pricing and operating assumptio'!B8</f>
        <v>0.9693877551020408</v>
      </c>
      <c r="H34" s="14">
        <f>1-'Pricing and operating assumptio'!B9/'Pricing and operating assumptio'!B8</f>
        <v>0.9693877551020408</v>
      </c>
      <c r="I34" s="14">
        <f>1-'Pricing and operating assumptio'!B9/'Pricing and operating assumptio'!B8</f>
        <v>0.9693877551020408</v>
      </c>
      <c r="J34" s="14">
        <f>1-'Pricing and operating assumptio'!B9/'Pricing and operating assumptio'!B8</f>
        <v>0.9693877551020408</v>
      </c>
      <c r="K34" s="14">
        <f>1-'Pricing and operating assumptio'!B9/'Pricing and operating assumptio'!B8</f>
        <v>0.9693877551020408</v>
      </c>
      <c r="L34" s="14">
        <f>1-'Pricing and operating assumptio'!B9/'Pricing and operating assumptio'!B8</f>
        <v>0.9693877551020408</v>
      </c>
      <c r="M34" s="14">
        <f>1-'Pricing and operating assumptio'!B9/'Pricing and operating assumptio'!B8</f>
        <v>0.9693877551020408</v>
      </c>
    </row>
  </sheetData>
  <mergeCells count="1">
    <mergeCell ref="A1:M1"/>
  </mergeCells>
</worksheet>
</file>

<file path=xl/worksheets/sheet3.xml><?xml version="1.0" encoding="utf-8"?>
<worksheet xmlns="http://schemas.openxmlformats.org/spreadsheetml/2006/main">
  <dimension ref="A1:AK10"/>
  <sheetViews>
    <sheetView showGridLines="0" workbookViewId="0">
      <pane xSplit="1" ySplit="4" topLeftCell="B5" activePane="bottomRight" state="frozen"/>
      <selection pane="bottomRight" activeCell="B5" sqref="B5"/>
    </sheetView>
  </sheetViews>
  <sheetFormatPr defaultRowHeight="18"/>
  <cols>
    <col min="1" max="1" width="40" customWidth="1"/>
    <col min="2" max="2" width="19" customWidth="1"/>
    <col min="3" max="3" width="19" customWidth="1"/>
    <col min="4" max="4" width="19" customWidth="1"/>
    <col min="5" max="5" width="19" customWidth="1"/>
    <col min="6" max="6" width="19" customWidth="1"/>
    <col min="7" max="7" width="19" customWidth="1"/>
    <col min="8" max="8" width="19" customWidth="1"/>
    <col min="9" max="9" width="19" customWidth="1"/>
    <col min="10" max="10" width="19" customWidth="1"/>
    <col min="11" max="11" width="19" customWidth="1"/>
    <col min="12" max="12" width="19" customWidth="1"/>
    <col min="13" max="13" width="19" customWidth="1"/>
    <col min="14" max="14" width="19" customWidth="1"/>
    <col min="15" max="15" width="19" customWidth="1"/>
    <col min="16" max="16" width="19" customWidth="1"/>
    <col min="17" max="17" width="19" customWidth="1"/>
    <col min="18" max="18" width="19" customWidth="1"/>
    <col min="19" max="19" width="19" customWidth="1"/>
    <col min="20" max="20" width="19" customWidth="1"/>
    <col min="21" max="21" width="19" customWidth="1"/>
    <col min="22" max="22" width="19" customWidth="1"/>
    <col min="23" max="23" width="19" customWidth="1"/>
    <col min="24" max="24" width="19" customWidth="1"/>
    <col min="25" max="25" width="19" customWidth="1"/>
    <col min="26" max="26" width="19" customWidth="1"/>
    <col min="27" max="27" width="19" customWidth="1"/>
    <col min="28" max="28" width="19" customWidth="1"/>
    <col min="29" max="29" width="19" customWidth="1"/>
    <col min="30" max="30" width="19" customWidth="1"/>
    <col min="31" max="31" width="19" customWidth="1"/>
    <col min="32" max="32" width="19" customWidth="1"/>
    <col min="33" max="33" width="19" customWidth="1"/>
    <col min="34" max="34" width="19" customWidth="1"/>
    <col min="35" max="35" width="19" customWidth="1"/>
    <col min="36" max="36" width="19" customWidth="1"/>
    <col min="37" max="37" width="19" customWidth="1"/>
  </cols>
  <sheetData>
    <row r="1" ht="32" customHeight="1">
      <c r="A1" t="inlineStr" s="1">
        <is>
          <t xml:space="preserve">Scenario comparison</t>
        </is>
      </c>
    </row>
    <row r="2" ht="20" customHeight="1">
      <c r="A2" t="inlineStr" s="2">
        <is>
          <t xml:space="preserve">Wincheck | 12-month plan · Main Scenario</t>
        </is>
      </c>
    </row>
    <row r="4" ht="22" customHeight="1">
      <c r="A4" t="inlineStr" s="3">
        <is>
          <t xml:space="preserve">Variable / dimension</t>
        </is>
      </c>
      <c r="B4" t="inlineStr" s="11">
        <is>
          <t xml:space="preserve">2026-10</t>
        </is>
      </c>
      <c r="C4" t="inlineStr" s="11">
        <is>
          <t xml:space="preserve">2026-10 &gt; Upside</t>
        </is>
      </c>
      <c r="D4" t="inlineStr" s="11">
        <is>
          <t xml:space="preserve">2026-10 &gt; Downside</t>
        </is>
      </c>
      <c r="E4" t="inlineStr" s="4">
        <is>
          <t xml:space="preserve">2026-11</t>
        </is>
      </c>
      <c r="F4" t="inlineStr" s="4">
        <is>
          <t xml:space="preserve">2026-11 &gt; Upside</t>
        </is>
      </c>
      <c r="G4" t="inlineStr" s="4">
        <is>
          <t xml:space="preserve">2026-11 &gt; Downside</t>
        </is>
      </c>
      <c r="H4" t="inlineStr" s="4">
        <is>
          <t xml:space="preserve">2026-12</t>
        </is>
      </c>
      <c r="I4" t="inlineStr" s="4">
        <is>
          <t xml:space="preserve">2026-12 &gt; Upside</t>
        </is>
      </c>
      <c r="J4" t="inlineStr" s="4">
        <is>
          <t xml:space="preserve">2026-12 &gt; Downside</t>
        </is>
      </c>
      <c r="K4" t="inlineStr" s="11">
        <is>
          <t xml:space="preserve">2027-01</t>
        </is>
      </c>
      <c r="L4" t="inlineStr" s="11">
        <is>
          <t xml:space="preserve">2027-01 &gt; Upside</t>
        </is>
      </c>
      <c r="M4" t="inlineStr" s="11">
        <is>
          <t xml:space="preserve">2027-01 &gt; Downside</t>
        </is>
      </c>
      <c r="N4" t="inlineStr" s="4">
        <is>
          <t xml:space="preserve">2027-02</t>
        </is>
      </c>
      <c r="O4" t="inlineStr" s="4">
        <is>
          <t xml:space="preserve">2027-02 &gt; Upside</t>
        </is>
      </c>
      <c r="P4" t="inlineStr" s="4">
        <is>
          <t xml:space="preserve">2027-02 &gt; Downside</t>
        </is>
      </c>
      <c r="Q4" t="inlineStr" s="4">
        <is>
          <t xml:space="preserve">2027-03</t>
        </is>
      </c>
      <c r="R4" t="inlineStr" s="4">
        <is>
          <t xml:space="preserve">2027-03 &gt; Upside</t>
        </is>
      </c>
      <c r="S4" t="inlineStr" s="4">
        <is>
          <t xml:space="preserve">2027-03 &gt; Downside</t>
        </is>
      </c>
      <c r="T4" t="inlineStr" s="11">
        <is>
          <t xml:space="preserve">2027-04</t>
        </is>
      </c>
      <c r="U4" t="inlineStr" s="11">
        <is>
          <t xml:space="preserve">2027-04 &gt; Upside</t>
        </is>
      </c>
      <c r="V4" t="inlineStr" s="11">
        <is>
          <t xml:space="preserve">2027-04 &gt; Downside</t>
        </is>
      </c>
      <c r="W4" t="inlineStr" s="4">
        <is>
          <t xml:space="preserve">2027-05</t>
        </is>
      </c>
      <c r="X4" t="inlineStr" s="4">
        <is>
          <t xml:space="preserve">2027-05 &gt; Upside</t>
        </is>
      </c>
      <c r="Y4" t="inlineStr" s="4">
        <is>
          <t xml:space="preserve">2027-05 &gt; Downside</t>
        </is>
      </c>
      <c r="Z4" t="inlineStr" s="4">
        <is>
          <t xml:space="preserve">2027-06</t>
        </is>
      </c>
      <c r="AA4" t="inlineStr" s="4">
        <is>
          <t xml:space="preserve">2027-06 &gt; Upside</t>
        </is>
      </c>
      <c r="AB4" t="inlineStr" s="4">
        <is>
          <t xml:space="preserve">2027-06 &gt; Downside</t>
        </is>
      </c>
      <c r="AC4" t="inlineStr" s="11">
        <is>
          <t xml:space="preserve">2027-07</t>
        </is>
      </c>
      <c r="AD4" t="inlineStr" s="11">
        <is>
          <t xml:space="preserve">2027-07 &gt; Upside</t>
        </is>
      </c>
      <c r="AE4" t="inlineStr" s="11">
        <is>
          <t xml:space="preserve">2027-07 &gt; Downside</t>
        </is>
      </c>
      <c r="AF4" t="inlineStr" s="4">
        <is>
          <t xml:space="preserve">2027-08</t>
        </is>
      </c>
      <c r="AG4" t="inlineStr" s="4">
        <is>
          <t xml:space="preserve">2027-08 &gt; Upside</t>
        </is>
      </c>
      <c r="AH4" t="inlineStr" s="4">
        <is>
          <t xml:space="preserve">2027-08 &gt; Downside</t>
        </is>
      </c>
      <c r="AI4" t="inlineStr" s="4">
        <is>
          <t xml:space="preserve">2027-09</t>
        </is>
      </c>
      <c r="AJ4" t="inlineStr" s="4">
        <is>
          <t xml:space="preserve">2027-09 &gt; Upside</t>
        </is>
      </c>
      <c r="AK4" t="inlineStr" s="4">
        <is>
          <t xml:space="preserve">2027-09 &gt; Downside</t>
        </is>
      </c>
    </row>
    <row r="5">
      <c r="A5" t="inlineStr" s="5">
        <is>
          <t xml:space="preserve">Paying teams</t>
        </is>
      </c>
      <c r="B5" s="6">
        <f>'Monthly operating and hiring fo'!B5</f>
        <v>0</v>
      </c>
      <c r="C5" s="6">
        <f>1</f>
        <v>1</v>
      </c>
      <c r="D5" s="6">
        <f>'Monthly operating and hiring fo'!B5</f>
        <v>0</v>
      </c>
      <c r="E5" s="6">
        <f>'Monthly operating and hiring fo'!C5</f>
        <v>1</v>
      </c>
      <c r="F5" s="6">
        <f>2</f>
        <v>2</v>
      </c>
      <c r="G5" s="6">
        <f>0</f>
        <v>0</v>
      </c>
      <c r="H5" s="6">
        <f>'Monthly operating and hiring fo'!D5</f>
        <v>2</v>
      </c>
      <c r="I5" s="6">
        <f>4</f>
        <v>4</v>
      </c>
      <c r="J5" s="6">
        <f>1</f>
        <v>1</v>
      </c>
      <c r="K5" s="6">
        <f>'Monthly operating and hiring fo'!E5</f>
        <v>3</v>
      </c>
      <c r="L5" s="6">
        <f>6</f>
        <v>6</v>
      </c>
      <c r="M5" s="6">
        <f>1</f>
        <v>1</v>
      </c>
      <c r="N5" s="6">
        <f>'Monthly operating and hiring fo'!F5</f>
        <v>4</v>
      </c>
      <c r="O5" s="6">
        <f>9</f>
        <v>9</v>
      </c>
      <c r="P5" s="6">
        <f>2</f>
        <v>2</v>
      </c>
      <c r="Q5" s="6">
        <f>'Monthly operating and hiring fo'!G5</f>
        <v>5</v>
      </c>
      <c r="R5" s="6">
        <f>12</f>
        <v>12</v>
      </c>
      <c r="S5" s="6">
        <f>2</f>
        <v>2</v>
      </c>
      <c r="T5" s="6">
        <f>'Monthly operating and hiring fo'!H5</f>
        <v>8</v>
      </c>
      <c r="U5" s="6">
        <f>17</f>
        <v>17</v>
      </c>
      <c r="V5" s="6">
        <f>3</f>
        <v>3</v>
      </c>
      <c r="W5" s="6">
        <f>'Monthly operating and hiring fo'!I5</f>
        <v>11</v>
      </c>
      <c r="X5" s="6">
        <f>23</f>
        <v>23</v>
      </c>
      <c r="Y5" s="6">
        <f>4</f>
        <v>4</v>
      </c>
      <c r="Z5" s="6">
        <f>'Monthly operating and hiring fo'!J5</f>
        <v>15</v>
      </c>
      <c r="AA5" s="6">
        <f>30</f>
        <v>30</v>
      </c>
      <c r="AB5" s="6">
        <f>5</f>
        <v>5</v>
      </c>
      <c r="AC5" s="6">
        <f>'Monthly operating and hiring fo'!K5</f>
        <v>20</v>
      </c>
      <c r="AD5" s="6">
        <f>40</f>
        <v>40</v>
      </c>
      <c r="AE5" s="6">
        <f>7</f>
        <v>7</v>
      </c>
      <c r="AF5" s="6">
        <f>'Monthly operating and hiring fo'!L5</f>
        <v>25</v>
      </c>
      <c r="AG5" s="6">
        <f>50</f>
        <v>50</v>
      </c>
      <c r="AH5" s="6">
        <f>9</f>
        <v>9</v>
      </c>
      <c r="AI5" s="6">
        <f>'Monthly operating and hiring fo'!M5</f>
        <v>30</v>
      </c>
      <c r="AJ5" s="6">
        <f>60</f>
        <v>60</v>
      </c>
      <c r="AK5" s="6">
        <f>12</f>
        <v>12</v>
      </c>
    </row>
    <row r="6">
      <c r="A6" t="inlineStr" s="7">
        <is>
          <t xml:space="preserve">Revenue</t>
        </is>
      </c>
      <c r="B6" s="15">
        <f>'Monthly operating and hiring fo'!B13+'Monthly operating and hiring fo'!B14+'Monthly operating and hiring fo'!B15</f>
        <v>0</v>
      </c>
      <c r="C6" s="15">
        <f>'Model inputs'!C66+'Model inputs'!C29+'Model inputs'!C56</f>
        <v>199</v>
      </c>
      <c r="D6" s="15">
        <f>'Model inputs'!C67+'Model inputs'!C30+'Model inputs'!C57</f>
        <v>0</v>
      </c>
      <c r="E6" s="15">
        <f>'Monthly operating and hiring fo'!C13+'Monthly operating and hiring fo'!C14+'Monthly operating and hiring fo'!C15</f>
        <v>199</v>
      </c>
      <c r="F6" s="15">
        <f>'Model inputs'!D66+'Model inputs'!D29+'Model inputs'!D56</f>
        <v>398</v>
      </c>
      <c r="G6" s="15">
        <f>'Model inputs'!D67+'Model inputs'!D30+'Model inputs'!D57</f>
        <v>0</v>
      </c>
      <c r="H6" s="15">
        <f>'Monthly operating and hiring fo'!D13+'Monthly operating and hiring fo'!D14+'Monthly operating and hiring fo'!D15</f>
        <v>398</v>
      </c>
      <c r="I6" s="15">
        <f>'Model inputs'!E66+'Model inputs'!E29+'Model inputs'!E56</f>
        <v>796</v>
      </c>
      <c r="J6" s="15">
        <f>'Model inputs'!E67+'Model inputs'!E30+'Model inputs'!E57</f>
        <v>199</v>
      </c>
      <c r="K6" s="15">
        <f>'Monthly operating and hiring fo'!E13+'Monthly operating and hiring fo'!E14+'Monthly operating and hiring fo'!E15</f>
        <v>597</v>
      </c>
      <c r="L6" s="15">
        <f>'Model inputs'!F66+'Model inputs'!F29+'Model inputs'!F56</f>
        <v>1194</v>
      </c>
      <c r="M6" s="15">
        <f>'Model inputs'!F67+'Model inputs'!F30+'Model inputs'!F57</f>
        <v>199</v>
      </c>
      <c r="N6" s="15">
        <f>'Monthly operating and hiring fo'!F13+'Monthly operating and hiring fo'!F14+'Monthly operating and hiring fo'!F15</f>
        <v>796</v>
      </c>
      <c r="O6" s="15">
        <f>'Model inputs'!G66+'Model inputs'!G29+'Model inputs'!G56</f>
        <v>1791</v>
      </c>
      <c r="P6" s="15">
        <f>'Model inputs'!G67+'Model inputs'!G30+'Model inputs'!G57</f>
        <v>398</v>
      </c>
      <c r="Q6" s="15">
        <f>'Monthly operating and hiring fo'!G13+'Monthly operating and hiring fo'!G14+'Monthly operating and hiring fo'!G15</f>
        <v>995</v>
      </c>
      <c r="R6" s="15">
        <f>'Model inputs'!H66+'Model inputs'!H29+'Model inputs'!H56</f>
        <v>2388</v>
      </c>
      <c r="S6" s="15">
        <f>'Model inputs'!H67+'Model inputs'!H30+'Model inputs'!H57</f>
        <v>398</v>
      </c>
      <c r="T6" s="15">
        <f>'Monthly operating and hiring fo'!H13+'Monthly operating and hiring fo'!H14+'Monthly operating and hiring fo'!H15</f>
        <v>1592</v>
      </c>
      <c r="U6" s="15">
        <f>'Model inputs'!I66+'Model inputs'!I29+'Model inputs'!I56</f>
        <v>3383</v>
      </c>
      <c r="V6" s="15">
        <f>'Model inputs'!I67+'Model inputs'!I30+'Model inputs'!I57</f>
        <v>597</v>
      </c>
      <c r="W6" s="15">
        <f>'Monthly operating and hiring fo'!I13+'Monthly operating and hiring fo'!I14+'Monthly operating and hiring fo'!I15</f>
        <v>2189</v>
      </c>
      <c r="X6" s="15">
        <f>'Model inputs'!J66+'Model inputs'!J29+'Model inputs'!J56</f>
        <v>4577</v>
      </c>
      <c r="Y6" s="15">
        <f>'Model inputs'!J67+'Model inputs'!J30+'Model inputs'!J57</f>
        <v>796</v>
      </c>
      <c r="Z6" s="15">
        <f>'Monthly operating and hiring fo'!J13+'Monthly operating and hiring fo'!J14+'Monthly operating and hiring fo'!J15</f>
        <v>2985</v>
      </c>
      <c r="AA6" s="15">
        <f>'Model inputs'!K66+'Model inputs'!K29+'Model inputs'!K56</f>
        <v>5970</v>
      </c>
      <c r="AB6" s="15">
        <f>'Model inputs'!K67+'Model inputs'!K30+'Model inputs'!K57</f>
        <v>995</v>
      </c>
      <c r="AC6" s="15">
        <f>'Monthly operating and hiring fo'!K13+'Monthly operating and hiring fo'!K14+'Monthly operating and hiring fo'!K15</f>
        <v>3980</v>
      </c>
      <c r="AD6" s="15">
        <f>'Model inputs'!L66+'Model inputs'!L29+'Model inputs'!L56</f>
        <v>7960</v>
      </c>
      <c r="AE6" s="15">
        <f>'Model inputs'!L67+'Model inputs'!L30+'Model inputs'!L57</f>
        <v>1393</v>
      </c>
      <c r="AF6" s="15">
        <f>'Monthly operating and hiring fo'!L13+'Monthly operating and hiring fo'!L14+'Monthly operating and hiring fo'!L15</f>
        <v>4975</v>
      </c>
      <c r="AG6" s="15">
        <f>'Model inputs'!M66+'Model inputs'!M29+'Model inputs'!M56</f>
        <v>9950</v>
      </c>
      <c r="AH6" s="15">
        <f>'Model inputs'!M67+'Model inputs'!M30+'Model inputs'!M57</f>
        <v>1791</v>
      </c>
      <c r="AI6" s="15">
        <f>'Monthly operating and hiring fo'!M13+'Monthly operating and hiring fo'!M14+'Monthly operating and hiring fo'!M15</f>
        <v>5970</v>
      </c>
      <c r="AJ6" s="15">
        <f>'Model inputs'!N66+'Model inputs'!N29+'Model inputs'!N56</f>
        <v>11940</v>
      </c>
      <c r="AK6" s="15">
        <f>'Model inputs'!N67+'Model inputs'!N30+'Model inputs'!N57</f>
        <v>2388</v>
      </c>
    </row>
    <row r="7">
      <c r="A7" t="inlineStr" s="7">
        <is>
          <t xml:space="preserve">Operating cash flow</t>
        </is>
      </c>
      <c r="B7" s="15">
        <f>'Monthly operating and hiring fo'!B23-'Monthly operating and hiring fo'!B28</f>
        <v>-154.5</v>
      </c>
      <c r="C7" s="15">
        <f>'Model inputs'!C7-'Model inputs'!C22</f>
        <v>29.5</v>
      </c>
      <c r="D7" s="15">
        <f>'Model inputs'!C8-'Model inputs'!C23</f>
        <v>-154.5</v>
      </c>
      <c r="E7" s="15">
        <f>'Monthly operating and hiring fo'!C23-'Monthly operating and hiring fo'!C28</f>
        <v>25</v>
      </c>
      <c r="F7" s="15">
        <f>'Model inputs'!D7-'Model inputs'!D22</f>
        <v>209</v>
      </c>
      <c r="G7" s="15">
        <f>'Model inputs'!D8-'Model inputs'!D23</f>
        <v>-159</v>
      </c>
      <c r="H7" s="15">
        <f>'Monthly operating and hiring fo'!D23-'Monthly operating and hiring fo'!D28</f>
        <v>203</v>
      </c>
      <c r="I7" s="15">
        <f>'Model inputs'!E7-'Model inputs'!E22</f>
        <v>571</v>
      </c>
      <c r="J7" s="15">
        <f>'Model inputs'!E8-'Model inputs'!E23</f>
        <v>19</v>
      </c>
      <c r="K7" s="15">
        <f>'Monthly operating and hiring fo'!E23-'Monthly operating and hiring fo'!E28</f>
        <v>387</v>
      </c>
      <c r="L7" s="15">
        <f>'Model inputs'!F7-'Model inputs'!F22</f>
        <v>939</v>
      </c>
      <c r="M7" s="15">
        <f>'Model inputs'!F8-'Model inputs'!F23</f>
        <v>19</v>
      </c>
      <c r="N7" s="15">
        <f>'Monthly operating and hiring fo'!F23-'Monthly operating and hiring fo'!F28</f>
        <v>571</v>
      </c>
      <c r="O7" s="15">
        <f>'Model inputs'!G7-'Model inputs'!G22</f>
        <v>1491</v>
      </c>
      <c r="P7" s="15">
        <f>'Model inputs'!G8-'Model inputs'!G23</f>
        <v>203</v>
      </c>
      <c r="Q7" s="15">
        <f>'Monthly operating and hiring fo'!G23-'Monthly operating and hiring fo'!G28</f>
        <v>755</v>
      </c>
      <c r="R7" s="15">
        <f>'Model inputs'!H7-'Model inputs'!H22</f>
        <v>2043</v>
      </c>
      <c r="S7" s="15">
        <f>'Model inputs'!H8-'Model inputs'!H23</f>
        <v>203</v>
      </c>
      <c r="T7" s="15">
        <f>'Monthly operating and hiring fo'!H23-'Monthly operating and hiring fo'!H28</f>
        <v>-2693</v>
      </c>
      <c r="U7" s="15">
        <f>'Model inputs'!I7-'Model inputs'!I22</f>
        <v>-1037</v>
      </c>
      <c r="V7" s="15">
        <f>'Model inputs'!I8-'Model inputs'!I23</f>
        <v>-3613</v>
      </c>
      <c r="W7" s="15">
        <f>'Monthly operating and hiring fo'!I23-'Monthly operating and hiring fo'!I28</f>
        <v>-2141</v>
      </c>
      <c r="X7" s="15">
        <f>'Model inputs'!J7-'Model inputs'!J22</f>
        <v>67</v>
      </c>
      <c r="Y7" s="15">
        <f>'Model inputs'!J8-'Model inputs'!J23</f>
        <v>-3429</v>
      </c>
      <c r="Z7" s="15">
        <f>'Monthly operating and hiring fo'!J23-'Monthly operating and hiring fo'!J28</f>
        <v>-1405</v>
      </c>
      <c r="AA7" s="15">
        <f>'Model inputs'!K7-'Model inputs'!K22</f>
        <v>1355</v>
      </c>
      <c r="AB7" s="15">
        <f>'Model inputs'!K8-'Model inputs'!K23</f>
        <v>-3245</v>
      </c>
      <c r="AC7" s="15">
        <f>'Monthly operating and hiring fo'!K23-'Monthly operating and hiring fo'!K28</f>
        <v>-485</v>
      </c>
      <c r="AD7" s="15">
        <f>'Model inputs'!L7-'Model inputs'!L22</f>
        <v>3195</v>
      </c>
      <c r="AE7" s="15">
        <f>'Model inputs'!L8-'Model inputs'!L23</f>
        <v>-2877</v>
      </c>
      <c r="AF7" s="15">
        <f>'Monthly operating and hiring fo'!L23-'Monthly operating and hiring fo'!L28</f>
        <v>435</v>
      </c>
      <c r="AG7" s="15">
        <f>'Model inputs'!M7-'Model inputs'!M22</f>
        <v>5035</v>
      </c>
      <c r="AH7" s="15">
        <f>'Model inputs'!M8-'Model inputs'!M23</f>
        <v>-2509</v>
      </c>
      <c r="AI7" s="15">
        <f>'Monthly operating and hiring fo'!M23-'Monthly operating and hiring fo'!M28</f>
        <v>1355</v>
      </c>
      <c r="AJ7" s="15">
        <f>'Model inputs'!N7-'Model inputs'!N22</f>
        <v>875</v>
      </c>
      <c r="AK7" s="15">
        <f>'Model inputs'!N8-'Model inputs'!N23</f>
        <v>-1957</v>
      </c>
    </row>
    <row r="8">
      <c r="A8" t="inlineStr" s="7">
        <is>
          <t xml:space="preserve">Engineer hired</t>
        </is>
      </c>
      <c r="B8" s="8">
        <f>IF(IF(IF(ISERROR('Monthly operating and hiring fo'!B9&lt;'Pricing and operating assumptio'!B16),'Monthly operating and hiring fo'!B9&lt;'Pricing and operating assumptio'!B16,IF(OR('Monthly operating and hiring fo'!B9="",'Pricing and operating assumptio'!B16=""),"",'Monthly operating and hiring fo'!B9&lt;'Pricing and operating assumptio'!B16))="",FALSE,IF(ISERROR('Monthly operating and hiring fo'!B9&lt;'Pricing and operating assumptio'!B16),'Monthly operating and hiring fo'!B9&lt;'Pricing and operating assumptio'!B16,IF(OR('Monthly operating and hiring fo'!B9="",'Pricing and operating assumptio'!B16=""),"",'Monthly operating and hiring fo'!B9&lt;'Pricing and operating assumptio'!B16))),0,IF(IF(IF(IFERROR(IF(ISERROR('Model inputs'!B24=1),'Model inputs'!B24=1,IF('Model inputs'!B24="","",'Model inputs'!B24=1))=TRUE,FALSE),TRUE,IF(IFERROR('Model inputs'!B167=TRUE,FALSE),TRUE,IF(OR(IF(ISERROR('Model inputs'!B24=1),'Model inputs'!B24=1,IF('Model inputs'!B24="","",'Model inputs'!B24=1))="",'Model inputs'!B167=""),"",OR(IF(ISERROR('Model inputs'!B24=1),'Model inputs'!B24=1,IF('Model inputs'!B24="","",'Model inputs'!B24=1)),'Model inputs'!B167))))="",FALSE,IF(IFERROR(IF(ISERROR('Model inputs'!B24=1),'Model inputs'!B24=1,IF('Model inputs'!B24="","",'Model inputs'!B24=1))=TRUE,FALSE),TRUE,IF(IFERROR('Model inputs'!B167=TRUE,FALSE),TRUE,IF(OR(IF(ISERROR('Model inputs'!B24=1),'Model inputs'!B24=1,IF('Model inputs'!B24="","",'Model inputs'!B24=1))="",'Model inputs'!B167=""),"",OR(IF(ISERROR('Model inputs'!B24=1),'Model inputs'!B24=1,IF('Model inputs'!B24="","",'Model inputs'!B24=1)),'Model inputs'!B167))))),1,0))</f>
        <v>0</v>
      </c>
      <c r="C8" s="8">
        <f>IF(IF(IF(ISERROR('Model inputs'!C60&lt;'Model inputs'!O19),'Model inputs'!C60&lt;'Model inputs'!O19,IF(OR('Model inputs'!C60="",'Model inputs'!O19=""),"",'Model inputs'!C60&lt;'Model inputs'!O19))="",FALSE,IF(ISERROR('Model inputs'!C60&lt;'Model inputs'!O19),'Model inputs'!C60&lt;'Model inputs'!O19,IF(OR('Model inputs'!C60="",'Model inputs'!O19=""),"",'Model inputs'!C60&lt;'Model inputs'!O19))),0,IF(IF(IF(IFERROR(IF(ISERROR('Model inputs'!B25=1),'Model inputs'!B25=1,IF('Model inputs'!B25="","",'Model inputs'!B25=1))=TRUE,FALSE),TRUE,IF(IFERROR('Model inputs'!B190=TRUE,FALSE),TRUE,IF(OR(IF(ISERROR('Model inputs'!B25=1),'Model inputs'!B25=1,IF('Model inputs'!B25="","",'Model inputs'!B25=1))="",'Model inputs'!B190=""),"",OR(IF(ISERROR('Model inputs'!B25=1),'Model inputs'!B25=1,IF('Model inputs'!B25="","",'Model inputs'!B25=1)),'Model inputs'!B190))))="",FALSE,IF(IFERROR(IF(ISERROR('Model inputs'!B25=1),'Model inputs'!B25=1,IF('Model inputs'!B25="","",'Model inputs'!B25=1))=TRUE,FALSE),TRUE,IF(IFERROR('Model inputs'!B190=TRUE,FALSE),TRUE,IF(OR(IF(ISERROR('Model inputs'!B25=1),'Model inputs'!B25=1,IF('Model inputs'!B25="","",'Model inputs'!B25=1))="",'Model inputs'!B190=""),"",OR(IF(ISERROR('Model inputs'!B25=1),'Model inputs'!B25=1,IF('Model inputs'!B25="","",'Model inputs'!B25=1)),'Model inputs'!B190))))),1,0))</f>
        <v>0</v>
      </c>
      <c r="D8" s="8">
        <f>IF(IF(IF(ISERROR('Model inputs'!C61&lt;'Model inputs'!O20),'Model inputs'!C61&lt;'Model inputs'!O20,IF(OR('Model inputs'!C61="",'Model inputs'!O20=""),"",'Model inputs'!C61&lt;'Model inputs'!O20))="",FALSE,IF(ISERROR('Model inputs'!C61&lt;'Model inputs'!O20),'Model inputs'!C61&lt;'Model inputs'!O20,IF(OR('Model inputs'!C61="",'Model inputs'!O20=""),"",'Model inputs'!C61&lt;'Model inputs'!O20))),0,IF(IF(IF(IFERROR(IF(ISERROR('Model inputs'!B26=1),'Model inputs'!B26=1,IF('Model inputs'!B26="","",'Model inputs'!B26=1))=TRUE,FALSE),TRUE,IF(IFERROR('Model inputs'!B191=TRUE,FALSE),TRUE,IF(OR(IF(ISERROR('Model inputs'!B26=1),'Model inputs'!B26=1,IF('Model inputs'!B26="","",'Model inputs'!B26=1))="",'Model inputs'!B191=""),"",OR(IF(ISERROR('Model inputs'!B26=1),'Model inputs'!B26=1,IF('Model inputs'!B26="","",'Model inputs'!B26=1)),'Model inputs'!B191))))="",FALSE,IF(IFERROR(IF(ISERROR('Model inputs'!B26=1),'Model inputs'!B26=1,IF('Model inputs'!B26="","",'Model inputs'!B26=1))=TRUE,FALSE),TRUE,IF(IFERROR('Model inputs'!B191=TRUE,FALSE),TRUE,IF(OR(IF(ISERROR('Model inputs'!B26=1),'Model inputs'!B26=1,IF('Model inputs'!B26="","",'Model inputs'!B26=1))="",'Model inputs'!B191=""),"",OR(IF(ISERROR('Model inputs'!B26=1),'Model inputs'!B26=1,IF('Model inputs'!B26="","",'Model inputs'!B26=1)),'Model inputs'!B191))))),1,0))</f>
        <v>0</v>
      </c>
      <c r="E8" s="8">
        <f>IF(IF(IF(ISERROR('Monthly operating and hiring fo'!C9&lt;'Pricing and operating assumptio'!B16),'Monthly operating and hiring fo'!C9&lt;'Pricing and operating assumptio'!B16,IF(OR('Monthly operating and hiring fo'!C9="",'Pricing and operating assumptio'!B16=""),"",'Monthly operating and hiring fo'!C9&lt;'Pricing and operating assumptio'!B16))="",FALSE,IF(ISERROR('Monthly operating and hiring fo'!C9&lt;'Pricing and operating assumptio'!B16),'Monthly operating and hiring fo'!C9&lt;'Pricing and operating assumptio'!B16,IF(OR('Monthly operating and hiring fo'!C9="",'Pricing and operating assumptio'!B16=""),"",'Monthly operating and hiring fo'!C9&lt;'Pricing and operating assumptio'!B16))),0,IF(IF(IF(IFERROR(IF(ISERROR('Scenario comparison'!B8=1),'Scenario comparison'!B8=1,IF('Scenario comparison'!B8="","",'Scenario comparison'!B8=1))=TRUE,FALSE),TRUE,IF(IFERROR('Model inputs'!B169=TRUE,FALSE),TRUE,IF(OR(IF(ISERROR('Scenario comparison'!B8=1),'Scenario comparison'!B8=1,IF('Scenario comparison'!B8="","",'Scenario comparison'!B8=1))="",'Model inputs'!B169=""),"",OR(IF(ISERROR('Scenario comparison'!B8=1),'Scenario comparison'!B8=1,IF('Scenario comparison'!B8="","",'Scenario comparison'!B8=1)),'Model inputs'!B169))))="",FALSE,IF(IFERROR(IF(ISERROR('Scenario comparison'!B8=1),'Scenario comparison'!B8=1,IF('Scenario comparison'!B8="","",'Scenario comparison'!B8=1))=TRUE,FALSE),TRUE,IF(IFERROR('Model inputs'!B169=TRUE,FALSE),TRUE,IF(OR(IF(ISERROR('Scenario comparison'!B8=1),'Scenario comparison'!B8=1,IF('Scenario comparison'!B8="","",'Scenario comparison'!B8=1))="",'Model inputs'!B169=""),"",OR(IF(ISERROR('Scenario comparison'!B8=1),'Scenario comparison'!B8=1,IF('Scenario comparison'!B8="","",'Scenario comparison'!B8=1)),'Model inputs'!B169))))),1,0))</f>
        <v>0</v>
      </c>
      <c r="F8" s="8">
        <f>IF(IF(IF(ISERROR('Model inputs'!D60&lt;'Model inputs'!O19),'Model inputs'!D60&lt;'Model inputs'!O19,IF(OR('Model inputs'!D60="",'Model inputs'!O19=""),"",'Model inputs'!D60&lt;'Model inputs'!O19))="",FALSE,IF(ISERROR('Model inputs'!D60&lt;'Model inputs'!O19),'Model inputs'!D60&lt;'Model inputs'!O19,IF(OR('Model inputs'!D60="",'Model inputs'!O19=""),"",'Model inputs'!D60&lt;'Model inputs'!O19))),0,IF(IF(IF(IFERROR(IF(ISERROR('Scenario comparison'!C8=1),'Scenario comparison'!C8=1,IF('Scenario comparison'!C8="","",'Scenario comparison'!C8=1))=TRUE,FALSE),TRUE,IF(IFERROR('Model inputs'!B192=TRUE,FALSE),TRUE,IF(OR(IF(ISERROR('Scenario comparison'!C8=1),'Scenario comparison'!C8=1,IF('Scenario comparison'!C8="","",'Scenario comparison'!C8=1))="",'Model inputs'!B192=""),"",OR(IF(ISERROR('Scenario comparison'!C8=1),'Scenario comparison'!C8=1,IF('Scenario comparison'!C8="","",'Scenario comparison'!C8=1)),'Model inputs'!B192))))="",FALSE,IF(IFERROR(IF(ISERROR('Scenario comparison'!C8=1),'Scenario comparison'!C8=1,IF('Scenario comparison'!C8="","",'Scenario comparison'!C8=1))=TRUE,FALSE),TRUE,IF(IFERROR('Model inputs'!B192=TRUE,FALSE),TRUE,IF(OR(IF(ISERROR('Scenario comparison'!C8=1),'Scenario comparison'!C8=1,IF('Scenario comparison'!C8="","",'Scenario comparison'!C8=1))="",'Model inputs'!B192=""),"",OR(IF(ISERROR('Scenario comparison'!C8=1),'Scenario comparison'!C8=1,IF('Scenario comparison'!C8="","",'Scenario comparison'!C8=1)),'Model inputs'!B192))))),1,0))</f>
        <v>0</v>
      </c>
      <c r="G8" s="8">
        <f>IF(IF(IF(ISERROR('Model inputs'!D61&lt;'Model inputs'!O20),'Model inputs'!D61&lt;'Model inputs'!O20,IF(OR('Model inputs'!D61="",'Model inputs'!O20=""),"",'Model inputs'!D61&lt;'Model inputs'!O20))="",FALSE,IF(ISERROR('Model inputs'!D61&lt;'Model inputs'!O20),'Model inputs'!D61&lt;'Model inputs'!O20,IF(OR('Model inputs'!D61="",'Model inputs'!O20=""),"",'Model inputs'!D61&lt;'Model inputs'!O20))),0,IF(IF(IF(IFERROR(IF(ISERROR('Scenario comparison'!D8=1),'Scenario comparison'!D8=1,IF('Scenario comparison'!D8="","",'Scenario comparison'!D8=1))=TRUE,FALSE),TRUE,IF(IFERROR('Model inputs'!B193=TRUE,FALSE),TRUE,IF(OR(IF(ISERROR('Scenario comparison'!D8=1),'Scenario comparison'!D8=1,IF('Scenario comparison'!D8="","",'Scenario comparison'!D8=1))="",'Model inputs'!B193=""),"",OR(IF(ISERROR('Scenario comparison'!D8=1),'Scenario comparison'!D8=1,IF('Scenario comparison'!D8="","",'Scenario comparison'!D8=1)),'Model inputs'!B193))))="",FALSE,IF(IFERROR(IF(ISERROR('Scenario comparison'!D8=1),'Scenario comparison'!D8=1,IF('Scenario comparison'!D8="","",'Scenario comparison'!D8=1))=TRUE,FALSE),TRUE,IF(IFERROR('Model inputs'!B193=TRUE,FALSE),TRUE,IF(OR(IF(ISERROR('Scenario comparison'!D8=1),'Scenario comparison'!D8=1,IF('Scenario comparison'!D8="","",'Scenario comparison'!D8=1))="",'Model inputs'!B193=""),"",OR(IF(ISERROR('Scenario comparison'!D8=1),'Scenario comparison'!D8=1,IF('Scenario comparison'!D8="","",'Scenario comparison'!D8=1)),'Model inputs'!B193))))),1,0))</f>
        <v>0</v>
      </c>
      <c r="H8" s="8">
        <f>IF(IF(IF(ISERROR('Monthly operating and hiring fo'!D9&lt;'Pricing and operating assumptio'!B16),'Monthly operating and hiring fo'!D9&lt;'Pricing and operating assumptio'!B16,IF(OR('Monthly operating and hiring fo'!D9="",'Pricing and operating assumptio'!B16=""),"",'Monthly operating and hiring fo'!D9&lt;'Pricing and operating assumptio'!B16))="",FALSE,IF(ISERROR('Monthly operating and hiring fo'!D9&lt;'Pricing and operating assumptio'!B16),'Monthly operating and hiring fo'!D9&lt;'Pricing and operating assumptio'!B16,IF(OR('Monthly operating and hiring fo'!D9="",'Pricing and operating assumptio'!B16=""),"",'Monthly operating and hiring fo'!D9&lt;'Pricing and operating assumptio'!B16))),0,IF(IF(IF(IFERROR(IF(ISERROR('Scenario comparison'!E8=1),'Scenario comparison'!E8=1,IF('Scenario comparison'!E8="","",'Scenario comparison'!E8=1))=TRUE,FALSE),TRUE,IF(IFERROR('Model inputs'!B171=TRUE,FALSE),TRUE,IF(OR(IF(ISERROR('Scenario comparison'!E8=1),'Scenario comparison'!E8=1,IF('Scenario comparison'!E8="","",'Scenario comparison'!E8=1))="",'Model inputs'!B171=""),"",OR(IF(ISERROR('Scenario comparison'!E8=1),'Scenario comparison'!E8=1,IF('Scenario comparison'!E8="","",'Scenario comparison'!E8=1)),'Model inputs'!B171))))="",FALSE,IF(IFERROR(IF(ISERROR('Scenario comparison'!E8=1),'Scenario comparison'!E8=1,IF('Scenario comparison'!E8="","",'Scenario comparison'!E8=1))=TRUE,FALSE),TRUE,IF(IFERROR('Model inputs'!B171=TRUE,FALSE),TRUE,IF(OR(IF(ISERROR('Scenario comparison'!E8=1),'Scenario comparison'!E8=1,IF('Scenario comparison'!E8="","",'Scenario comparison'!E8=1))="",'Model inputs'!B171=""),"",OR(IF(ISERROR('Scenario comparison'!E8=1),'Scenario comparison'!E8=1,IF('Scenario comparison'!E8="","",'Scenario comparison'!E8=1)),'Model inputs'!B171))))),1,0))</f>
        <v>0</v>
      </c>
      <c r="I8" s="8">
        <f>IF(IF(IF(ISERROR('Model inputs'!E60&lt;'Model inputs'!O19),'Model inputs'!E60&lt;'Model inputs'!O19,IF(OR('Model inputs'!E60="",'Model inputs'!O19=""),"",'Model inputs'!E60&lt;'Model inputs'!O19))="",FALSE,IF(ISERROR('Model inputs'!E60&lt;'Model inputs'!O19),'Model inputs'!E60&lt;'Model inputs'!O19,IF(OR('Model inputs'!E60="",'Model inputs'!O19=""),"",'Model inputs'!E60&lt;'Model inputs'!O19))),0,IF(IF(IF(IFERROR(IF(ISERROR('Scenario comparison'!F8=1),'Scenario comparison'!F8=1,IF('Scenario comparison'!F8="","",'Scenario comparison'!F8=1))=TRUE,FALSE),TRUE,IF(IFERROR('Model inputs'!B194=TRUE,FALSE),TRUE,IF(OR(IF(ISERROR('Scenario comparison'!F8=1),'Scenario comparison'!F8=1,IF('Scenario comparison'!F8="","",'Scenario comparison'!F8=1))="",'Model inputs'!B194=""),"",OR(IF(ISERROR('Scenario comparison'!F8=1),'Scenario comparison'!F8=1,IF('Scenario comparison'!F8="","",'Scenario comparison'!F8=1)),'Model inputs'!B194))))="",FALSE,IF(IFERROR(IF(ISERROR('Scenario comparison'!F8=1),'Scenario comparison'!F8=1,IF('Scenario comparison'!F8="","",'Scenario comparison'!F8=1))=TRUE,FALSE),TRUE,IF(IFERROR('Model inputs'!B194=TRUE,FALSE),TRUE,IF(OR(IF(ISERROR('Scenario comparison'!F8=1),'Scenario comparison'!F8=1,IF('Scenario comparison'!F8="","",'Scenario comparison'!F8=1))="",'Model inputs'!B194=""),"",OR(IF(ISERROR('Scenario comparison'!F8=1),'Scenario comparison'!F8=1,IF('Scenario comparison'!F8="","",'Scenario comparison'!F8=1)),'Model inputs'!B194))))),1,0))</f>
        <v>0</v>
      </c>
      <c r="J8" s="8">
        <f>IF(IF(IF(ISERROR('Model inputs'!E61&lt;'Model inputs'!O20),'Model inputs'!E61&lt;'Model inputs'!O20,IF(OR('Model inputs'!E61="",'Model inputs'!O20=""),"",'Model inputs'!E61&lt;'Model inputs'!O20))="",FALSE,IF(ISERROR('Model inputs'!E61&lt;'Model inputs'!O20),'Model inputs'!E61&lt;'Model inputs'!O20,IF(OR('Model inputs'!E61="",'Model inputs'!O20=""),"",'Model inputs'!E61&lt;'Model inputs'!O20))),0,IF(IF(IF(IFERROR(IF(ISERROR('Scenario comparison'!G8=1),'Scenario comparison'!G8=1,IF('Scenario comparison'!G8="","",'Scenario comparison'!G8=1))=TRUE,FALSE),TRUE,IF(IFERROR('Model inputs'!B195=TRUE,FALSE),TRUE,IF(OR(IF(ISERROR('Scenario comparison'!G8=1),'Scenario comparison'!G8=1,IF('Scenario comparison'!G8="","",'Scenario comparison'!G8=1))="",'Model inputs'!B195=""),"",OR(IF(ISERROR('Scenario comparison'!G8=1),'Scenario comparison'!G8=1,IF('Scenario comparison'!G8="","",'Scenario comparison'!G8=1)),'Model inputs'!B195))))="",FALSE,IF(IFERROR(IF(ISERROR('Scenario comparison'!G8=1),'Scenario comparison'!G8=1,IF('Scenario comparison'!G8="","",'Scenario comparison'!G8=1))=TRUE,FALSE),TRUE,IF(IFERROR('Model inputs'!B195=TRUE,FALSE),TRUE,IF(OR(IF(ISERROR('Scenario comparison'!G8=1),'Scenario comparison'!G8=1,IF('Scenario comparison'!G8="","",'Scenario comparison'!G8=1))="",'Model inputs'!B195=""),"",OR(IF(ISERROR('Scenario comparison'!G8=1),'Scenario comparison'!G8=1,IF('Scenario comparison'!G8="","",'Scenario comparison'!G8=1)),'Model inputs'!B195))))),1,0))</f>
        <v>0</v>
      </c>
      <c r="K8" s="8">
        <f>IF(IF(IF(ISERROR('Monthly operating and hiring fo'!E9&lt;'Pricing and operating assumptio'!B16),'Monthly operating and hiring fo'!E9&lt;'Pricing and operating assumptio'!B16,IF(OR('Monthly operating and hiring fo'!E9="",'Pricing and operating assumptio'!B16=""),"",'Monthly operating and hiring fo'!E9&lt;'Pricing and operating assumptio'!B16))="",FALSE,IF(ISERROR('Monthly operating and hiring fo'!E9&lt;'Pricing and operating assumptio'!B16),'Monthly operating and hiring fo'!E9&lt;'Pricing and operating assumptio'!B16,IF(OR('Monthly operating and hiring fo'!E9="",'Pricing and operating assumptio'!B16=""),"",'Monthly operating and hiring fo'!E9&lt;'Pricing and operating assumptio'!B16))),0,IF(IF(IF(IFERROR(IF(ISERROR('Scenario comparison'!H8=1),'Scenario comparison'!H8=1,IF('Scenario comparison'!H8="","",'Scenario comparison'!H8=1))=TRUE,FALSE),TRUE,IF(IFERROR('Model inputs'!B173=TRUE,FALSE),TRUE,IF(OR(IF(ISERROR('Scenario comparison'!H8=1),'Scenario comparison'!H8=1,IF('Scenario comparison'!H8="","",'Scenario comparison'!H8=1))="",'Model inputs'!B173=""),"",OR(IF(ISERROR('Scenario comparison'!H8=1),'Scenario comparison'!H8=1,IF('Scenario comparison'!H8="","",'Scenario comparison'!H8=1)),'Model inputs'!B173))))="",FALSE,IF(IFERROR(IF(ISERROR('Scenario comparison'!H8=1),'Scenario comparison'!H8=1,IF('Scenario comparison'!H8="","",'Scenario comparison'!H8=1))=TRUE,FALSE),TRUE,IF(IFERROR('Model inputs'!B173=TRUE,FALSE),TRUE,IF(OR(IF(ISERROR('Scenario comparison'!H8=1),'Scenario comparison'!H8=1,IF('Scenario comparison'!H8="","",'Scenario comparison'!H8=1))="",'Model inputs'!B173=""),"",OR(IF(ISERROR('Scenario comparison'!H8=1),'Scenario comparison'!H8=1,IF('Scenario comparison'!H8="","",'Scenario comparison'!H8=1)),'Model inputs'!B173))))),1,0))</f>
        <v>0</v>
      </c>
      <c r="L8" s="8">
        <f>IF(IF(IF(ISERROR('Model inputs'!F60&lt;'Model inputs'!O19),'Model inputs'!F60&lt;'Model inputs'!O19,IF(OR('Model inputs'!F60="",'Model inputs'!O19=""),"",'Model inputs'!F60&lt;'Model inputs'!O19))="",FALSE,IF(ISERROR('Model inputs'!F60&lt;'Model inputs'!O19),'Model inputs'!F60&lt;'Model inputs'!O19,IF(OR('Model inputs'!F60="",'Model inputs'!O19=""),"",'Model inputs'!F60&lt;'Model inputs'!O19))),0,IF(IF(IF(IFERROR(IF(ISERROR('Scenario comparison'!I8=1),'Scenario comparison'!I8=1,IF('Scenario comparison'!I8="","",'Scenario comparison'!I8=1))=TRUE,FALSE),TRUE,IF(IFERROR('Model inputs'!B196=TRUE,FALSE),TRUE,IF(OR(IF(ISERROR('Scenario comparison'!I8=1),'Scenario comparison'!I8=1,IF('Scenario comparison'!I8="","",'Scenario comparison'!I8=1))="",'Model inputs'!B196=""),"",OR(IF(ISERROR('Scenario comparison'!I8=1),'Scenario comparison'!I8=1,IF('Scenario comparison'!I8="","",'Scenario comparison'!I8=1)),'Model inputs'!B196))))="",FALSE,IF(IFERROR(IF(ISERROR('Scenario comparison'!I8=1),'Scenario comparison'!I8=1,IF('Scenario comparison'!I8="","",'Scenario comparison'!I8=1))=TRUE,FALSE),TRUE,IF(IFERROR('Model inputs'!B196=TRUE,FALSE),TRUE,IF(OR(IF(ISERROR('Scenario comparison'!I8=1),'Scenario comparison'!I8=1,IF('Scenario comparison'!I8="","",'Scenario comparison'!I8=1))="",'Model inputs'!B196=""),"",OR(IF(ISERROR('Scenario comparison'!I8=1),'Scenario comparison'!I8=1,IF('Scenario comparison'!I8="","",'Scenario comparison'!I8=1)),'Model inputs'!B196))))),1,0))</f>
        <v>0</v>
      </c>
      <c r="M8" s="8">
        <f>IF(IF(IF(ISERROR('Model inputs'!F61&lt;'Model inputs'!O20),'Model inputs'!F61&lt;'Model inputs'!O20,IF(OR('Model inputs'!F61="",'Model inputs'!O20=""),"",'Model inputs'!F61&lt;'Model inputs'!O20))="",FALSE,IF(ISERROR('Model inputs'!F61&lt;'Model inputs'!O20),'Model inputs'!F61&lt;'Model inputs'!O20,IF(OR('Model inputs'!F61="",'Model inputs'!O20=""),"",'Model inputs'!F61&lt;'Model inputs'!O20))),0,IF(IF(IF(IFERROR(IF(ISERROR('Scenario comparison'!J8=1),'Scenario comparison'!J8=1,IF('Scenario comparison'!J8="","",'Scenario comparison'!J8=1))=TRUE,FALSE),TRUE,IF(IFERROR('Model inputs'!B197=TRUE,FALSE),TRUE,IF(OR(IF(ISERROR('Scenario comparison'!J8=1),'Scenario comparison'!J8=1,IF('Scenario comparison'!J8="","",'Scenario comparison'!J8=1))="",'Model inputs'!B197=""),"",OR(IF(ISERROR('Scenario comparison'!J8=1),'Scenario comparison'!J8=1,IF('Scenario comparison'!J8="","",'Scenario comparison'!J8=1)),'Model inputs'!B197))))="",FALSE,IF(IFERROR(IF(ISERROR('Scenario comparison'!J8=1),'Scenario comparison'!J8=1,IF('Scenario comparison'!J8="","",'Scenario comparison'!J8=1))=TRUE,FALSE),TRUE,IF(IFERROR('Model inputs'!B197=TRUE,FALSE),TRUE,IF(OR(IF(ISERROR('Scenario comparison'!J8=1),'Scenario comparison'!J8=1,IF('Scenario comparison'!J8="","",'Scenario comparison'!J8=1))="",'Model inputs'!B197=""),"",OR(IF(ISERROR('Scenario comparison'!J8=1),'Scenario comparison'!J8=1,IF('Scenario comparison'!J8="","",'Scenario comparison'!J8=1)),'Model inputs'!B197))))),1,0))</f>
        <v>0</v>
      </c>
      <c r="N8" s="8">
        <f>IF(IF(IF(ISERROR('Monthly operating and hiring fo'!F9&lt;'Pricing and operating assumptio'!B16),'Monthly operating and hiring fo'!F9&lt;'Pricing and operating assumptio'!B16,IF(OR('Monthly operating and hiring fo'!F9="",'Pricing and operating assumptio'!B16=""),"",'Monthly operating and hiring fo'!F9&lt;'Pricing and operating assumptio'!B16))="",FALSE,IF(ISERROR('Monthly operating and hiring fo'!F9&lt;'Pricing and operating assumptio'!B16),'Monthly operating and hiring fo'!F9&lt;'Pricing and operating assumptio'!B16,IF(OR('Monthly operating and hiring fo'!F9="",'Pricing and operating assumptio'!B16=""),"",'Monthly operating and hiring fo'!F9&lt;'Pricing and operating assumptio'!B16))),0,IF(IF(IF(IFERROR(IF(ISERROR('Scenario comparison'!K8=1),'Scenario comparison'!K8=1,IF('Scenario comparison'!K8="","",'Scenario comparison'!K8=1))=TRUE,FALSE),TRUE,IF(IFERROR('Model inputs'!B175=TRUE,FALSE),TRUE,IF(OR(IF(ISERROR('Scenario comparison'!K8=1),'Scenario comparison'!K8=1,IF('Scenario comparison'!K8="","",'Scenario comparison'!K8=1))="",'Model inputs'!B175=""),"",OR(IF(ISERROR('Scenario comparison'!K8=1),'Scenario comparison'!K8=1,IF('Scenario comparison'!K8="","",'Scenario comparison'!K8=1)),'Model inputs'!B175))))="",FALSE,IF(IFERROR(IF(ISERROR('Scenario comparison'!K8=1),'Scenario comparison'!K8=1,IF('Scenario comparison'!K8="","",'Scenario comparison'!K8=1))=TRUE,FALSE),TRUE,IF(IFERROR('Model inputs'!B175=TRUE,FALSE),TRUE,IF(OR(IF(ISERROR('Scenario comparison'!K8=1),'Scenario comparison'!K8=1,IF('Scenario comparison'!K8="","",'Scenario comparison'!K8=1))="",'Model inputs'!B175=""),"",OR(IF(ISERROR('Scenario comparison'!K8=1),'Scenario comparison'!K8=1,IF('Scenario comparison'!K8="","",'Scenario comparison'!K8=1)),'Model inputs'!B175))))),1,0))</f>
        <v>0</v>
      </c>
      <c r="O8" s="8">
        <f>IF(IF(IF(ISERROR('Model inputs'!G60&lt;'Model inputs'!O19),'Model inputs'!G60&lt;'Model inputs'!O19,IF(OR('Model inputs'!G60="",'Model inputs'!O19=""),"",'Model inputs'!G60&lt;'Model inputs'!O19))="",FALSE,IF(ISERROR('Model inputs'!G60&lt;'Model inputs'!O19),'Model inputs'!G60&lt;'Model inputs'!O19,IF(OR('Model inputs'!G60="",'Model inputs'!O19=""),"",'Model inputs'!G60&lt;'Model inputs'!O19))),0,IF(IF(IF(IFERROR(IF(ISERROR('Scenario comparison'!L8=1),'Scenario comparison'!L8=1,IF('Scenario comparison'!L8="","",'Scenario comparison'!L8=1))=TRUE,FALSE),TRUE,IF(IFERROR('Model inputs'!B198=TRUE,FALSE),TRUE,IF(OR(IF(ISERROR('Scenario comparison'!L8=1),'Scenario comparison'!L8=1,IF('Scenario comparison'!L8="","",'Scenario comparison'!L8=1))="",'Model inputs'!B198=""),"",OR(IF(ISERROR('Scenario comparison'!L8=1),'Scenario comparison'!L8=1,IF('Scenario comparison'!L8="","",'Scenario comparison'!L8=1)),'Model inputs'!B198))))="",FALSE,IF(IFERROR(IF(ISERROR('Scenario comparison'!L8=1),'Scenario comparison'!L8=1,IF('Scenario comparison'!L8="","",'Scenario comparison'!L8=1))=TRUE,FALSE),TRUE,IF(IFERROR('Model inputs'!B198=TRUE,FALSE),TRUE,IF(OR(IF(ISERROR('Scenario comparison'!L8=1),'Scenario comparison'!L8=1,IF('Scenario comparison'!L8="","",'Scenario comparison'!L8=1))="",'Model inputs'!B198=""),"",OR(IF(ISERROR('Scenario comparison'!L8=1),'Scenario comparison'!L8=1,IF('Scenario comparison'!L8="","",'Scenario comparison'!L8=1)),'Model inputs'!B198))))),1,0))</f>
        <v>0</v>
      </c>
      <c r="P8" s="8">
        <f>IF(IF(IF(ISERROR('Model inputs'!G61&lt;'Model inputs'!O20),'Model inputs'!G61&lt;'Model inputs'!O20,IF(OR('Model inputs'!G61="",'Model inputs'!O20=""),"",'Model inputs'!G61&lt;'Model inputs'!O20))="",FALSE,IF(ISERROR('Model inputs'!G61&lt;'Model inputs'!O20),'Model inputs'!G61&lt;'Model inputs'!O20,IF(OR('Model inputs'!G61="",'Model inputs'!O20=""),"",'Model inputs'!G61&lt;'Model inputs'!O20))),0,IF(IF(IF(IFERROR(IF(ISERROR('Scenario comparison'!M8=1),'Scenario comparison'!M8=1,IF('Scenario comparison'!M8="","",'Scenario comparison'!M8=1))=TRUE,FALSE),TRUE,IF(IFERROR('Model inputs'!B199=TRUE,FALSE),TRUE,IF(OR(IF(ISERROR('Scenario comparison'!M8=1),'Scenario comparison'!M8=1,IF('Scenario comparison'!M8="","",'Scenario comparison'!M8=1))="",'Model inputs'!B199=""),"",OR(IF(ISERROR('Scenario comparison'!M8=1),'Scenario comparison'!M8=1,IF('Scenario comparison'!M8="","",'Scenario comparison'!M8=1)),'Model inputs'!B199))))="",FALSE,IF(IFERROR(IF(ISERROR('Scenario comparison'!M8=1),'Scenario comparison'!M8=1,IF('Scenario comparison'!M8="","",'Scenario comparison'!M8=1))=TRUE,FALSE),TRUE,IF(IFERROR('Model inputs'!B199=TRUE,FALSE),TRUE,IF(OR(IF(ISERROR('Scenario comparison'!M8=1),'Scenario comparison'!M8=1,IF('Scenario comparison'!M8="","",'Scenario comparison'!M8=1))="",'Model inputs'!B199=""),"",OR(IF(ISERROR('Scenario comparison'!M8=1),'Scenario comparison'!M8=1,IF('Scenario comparison'!M8="","",'Scenario comparison'!M8=1)),'Model inputs'!B199))))),1,0))</f>
        <v>0</v>
      </c>
      <c r="Q8" s="8">
        <f>IF(IF(IF(ISERROR('Monthly operating and hiring fo'!G9&lt;'Pricing and operating assumptio'!B16),'Monthly operating and hiring fo'!G9&lt;'Pricing and operating assumptio'!B16,IF(OR('Monthly operating and hiring fo'!G9="",'Pricing and operating assumptio'!B16=""),"",'Monthly operating and hiring fo'!G9&lt;'Pricing and operating assumptio'!B16))="",FALSE,IF(ISERROR('Monthly operating and hiring fo'!G9&lt;'Pricing and operating assumptio'!B16),'Monthly operating and hiring fo'!G9&lt;'Pricing and operating assumptio'!B16,IF(OR('Monthly operating and hiring fo'!G9="",'Pricing and operating assumptio'!B16=""),"",'Monthly operating and hiring fo'!G9&lt;'Pricing and operating assumptio'!B16))),0,IF(IF(IF(IFERROR(IF(ISERROR('Scenario comparison'!N8=1),'Scenario comparison'!N8=1,IF('Scenario comparison'!N8="","",'Scenario comparison'!N8=1))=TRUE,FALSE),TRUE,IF(IFERROR('Model inputs'!B177=TRUE,FALSE),TRUE,IF(OR(IF(ISERROR('Scenario comparison'!N8=1),'Scenario comparison'!N8=1,IF('Scenario comparison'!N8="","",'Scenario comparison'!N8=1))="",'Model inputs'!B177=""),"",OR(IF(ISERROR('Scenario comparison'!N8=1),'Scenario comparison'!N8=1,IF('Scenario comparison'!N8="","",'Scenario comparison'!N8=1)),'Model inputs'!B177))))="",FALSE,IF(IFERROR(IF(ISERROR('Scenario comparison'!N8=1),'Scenario comparison'!N8=1,IF('Scenario comparison'!N8="","",'Scenario comparison'!N8=1))=TRUE,FALSE),TRUE,IF(IFERROR('Model inputs'!B177=TRUE,FALSE),TRUE,IF(OR(IF(ISERROR('Scenario comparison'!N8=1),'Scenario comparison'!N8=1,IF('Scenario comparison'!N8="","",'Scenario comparison'!N8=1))="",'Model inputs'!B177=""),"",OR(IF(ISERROR('Scenario comparison'!N8=1),'Scenario comparison'!N8=1,IF('Scenario comparison'!N8="","",'Scenario comparison'!N8=1)),'Model inputs'!B177))))),1,0))</f>
        <v>0</v>
      </c>
      <c r="R8" s="8">
        <f>IF(IF(IF(ISERROR('Model inputs'!H60&lt;'Model inputs'!O19),'Model inputs'!H60&lt;'Model inputs'!O19,IF(OR('Model inputs'!H60="",'Model inputs'!O19=""),"",'Model inputs'!H60&lt;'Model inputs'!O19))="",FALSE,IF(ISERROR('Model inputs'!H60&lt;'Model inputs'!O19),'Model inputs'!H60&lt;'Model inputs'!O19,IF(OR('Model inputs'!H60="",'Model inputs'!O19=""),"",'Model inputs'!H60&lt;'Model inputs'!O19))),0,IF(IF(IF(IFERROR(IF(ISERROR('Scenario comparison'!O8=1),'Scenario comparison'!O8=1,IF('Scenario comparison'!O8="","",'Scenario comparison'!O8=1))=TRUE,FALSE),TRUE,IF(IFERROR('Model inputs'!B200=TRUE,FALSE),TRUE,IF(OR(IF(ISERROR('Scenario comparison'!O8=1),'Scenario comparison'!O8=1,IF('Scenario comparison'!O8="","",'Scenario comparison'!O8=1))="",'Model inputs'!B200=""),"",OR(IF(ISERROR('Scenario comparison'!O8=1),'Scenario comparison'!O8=1,IF('Scenario comparison'!O8="","",'Scenario comparison'!O8=1)),'Model inputs'!B200))))="",FALSE,IF(IFERROR(IF(ISERROR('Scenario comparison'!O8=1),'Scenario comparison'!O8=1,IF('Scenario comparison'!O8="","",'Scenario comparison'!O8=1))=TRUE,FALSE),TRUE,IF(IFERROR('Model inputs'!B200=TRUE,FALSE),TRUE,IF(OR(IF(ISERROR('Scenario comparison'!O8=1),'Scenario comparison'!O8=1,IF('Scenario comparison'!O8="","",'Scenario comparison'!O8=1))="",'Model inputs'!B200=""),"",OR(IF(ISERROR('Scenario comparison'!O8=1),'Scenario comparison'!O8=1,IF('Scenario comparison'!O8="","",'Scenario comparison'!O8=1)),'Model inputs'!B200))))),1,0))</f>
        <v>0</v>
      </c>
      <c r="S8" s="8">
        <f>IF(IF(IF(ISERROR('Model inputs'!H61&lt;'Model inputs'!O20),'Model inputs'!H61&lt;'Model inputs'!O20,IF(OR('Model inputs'!H61="",'Model inputs'!O20=""),"",'Model inputs'!H61&lt;'Model inputs'!O20))="",FALSE,IF(ISERROR('Model inputs'!H61&lt;'Model inputs'!O20),'Model inputs'!H61&lt;'Model inputs'!O20,IF(OR('Model inputs'!H61="",'Model inputs'!O20=""),"",'Model inputs'!H61&lt;'Model inputs'!O20))),0,IF(IF(IF(IFERROR(IF(ISERROR('Scenario comparison'!P8=1),'Scenario comparison'!P8=1,IF('Scenario comparison'!P8="","",'Scenario comparison'!P8=1))=TRUE,FALSE),TRUE,IF(IFERROR('Model inputs'!B201=TRUE,FALSE),TRUE,IF(OR(IF(ISERROR('Scenario comparison'!P8=1),'Scenario comparison'!P8=1,IF('Scenario comparison'!P8="","",'Scenario comparison'!P8=1))="",'Model inputs'!B201=""),"",OR(IF(ISERROR('Scenario comparison'!P8=1),'Scenario comparison'!P8=1,IF('Scenario comparison'!P8="","",'Scenario comparison'!P8=1)),'Model inputs'!B201))))="",FALSE,IF(IFERROR(IF(ISERROR('Scenario comparison'!P8=1),'Scenario comparison'!P8=1,IF('Scenario comparison'!P8="","",'Scenario comparison'!P8=1))=TRUE,FALSE),TRUE,IF(IFERROR('Model inputs'!B201=TRUE,FALSE),TRUE,IF(OR(IF(ISERROR('Scenario comparison'!P8=1),'Scenario comparison'!P8=1,IF('Scenario comparison'!P8="","",'Scenario comparison'!P8=1))="",'Model inputs'!B201=""),"",OR(IF(ISERROR('Scenario comparison'!P8=1),'Scenario comparison'!P8=1,IF('Scenario comparison'!P8="","",'Scenario comparison'!P8=1)),'Model inputs'!B201))))),1,0))</f>
        <v>0</v>
      </c>
      <c r="T8" s="8">
        <f>IF(IF(IF(ISERROR('Monthly operating and hiring fo'!H9&lt;'Pricing and operating assumptio'!B16),'Monthly operating and hiring fo'!H9&lt;'Pricing and operating assumptio'!B16,IF(OR('Monthly operating and hiring fo'!H9="",'Pricing and operating assumptio'!B16=""),"",'Monthly operating and hiring fo'!H9&lt;'Pricing and operating assumptio'!B16))="",FALSE,IF(ISERROR('Monthly operating and hiring fo'!H9&lt;'Pricing and operating assumptio'!B16),'Monthly operating and hiring fo'!H9&lt;'Pricing and operating assumptio'!B16,IF(OR('Monthly operating and hiring fo'!H9="",'Pricing and operating assumptio'!B16=""),"",'Monthly operating and hiring fo'!H9&lt;'Pricing and operating assumptio'!B16))),0,IF(IF(IF(IFERROR(IF(ISERROR('Scenario comparison'!Q8=1),'Scenario comparison'!Q8=1,IF('Scenario comparison'!Q8="","",'Scenario comparison'!Q8=1))=TRUE,FALSE),TRUE,IF(IFERROR('Model inputs'!B179=TRUE,FALSE),TRUE,IF(OR(IF(ISERROR('Scenario comparison'!Q8=1),'Scenario comparison'!Q8=1,IF('Scenario comparison'!Q8="","",'Scenario comparison'!Q8=1))="",'Model inputs'!B179=""),"",OR(IF(ISERROR('Scenario comparison'!Q8=1),'Scenario comparison'!Q8=1,IF('Scenario comparison'!Q8="","",'Scenario comparison'!Q8=1)),'Model inputs'!B179))))="",FALSE,IF(IFERROR(IF(ISERROR('Scenario comparison'!Q8=1),'Scenario comparison'!Q8=1,IF('Scenario comparison'!Q8="","",'Scenario comparison'!Q8=1))=TRUE,FALSE),TRUE,IF(IFERROR('Model inputs'!B179=TRUE,FALSE),TRUE,IF(OR(IF(ISERROR('Scenario comparison'!Q8=1),'Scenario comparison'!Q8=1,IF('Scenario comparison'!Q8="","",'Scenario comparison'!Q8=1))="",'Model inputs'!B179=""),"",OR(IF(ISERROR('Scenario comparison'!Q8=1),'Scenario comparison'!Q8=1,IF('Scenario comparison'!Q8="","",'Scenario comparison'!Q8=1)),'Model inputs'!B179))))),1,0))</f>
        <v>0</v>
      </c>
      <c r="U8" s="8">
        <f>IF(IF(IF(ISERROR('Model inputs'!I60&lt;'Model inputs'!O19),'Model inputs'!I60&lt;'Model inputs'!O19,IF(OR('Model inputs'!I60="",'Model inputs'!O19=""),"",'Model inputs'!I60&lt;'Model inputs'!O19))="",FALSE,IF(ISERROR('Model inputs'!I60&lt;'Model inputs'!O19),'Model inputs'!I60&lt;'Model inputs'!O19,IF(OR('Model inputs'!I60="",'Model inputs'!O19=""),"",'Model inputs'!I60&lt;'Model inputs'!O19))),0,IF(IF(IF(IFERROR(IF(ISERROR('Scenario comparison'!R8=1),'Scenario comparison'!R8=1,IF('Scenario comparison'!R8="","",'Scenario comparison'!R8=1))=TRUE,FALSE),TRUE,IF(IFERROR('Model inputs'!B202=TRUE,FALSE),TRUE,IF(OR(IF(ISERROR('Scenario comparison'!R8=1),'Scenario comparison'!R8=1,IF('Scenario comparison'!R8="","",'Scenario comparison'!R8=1))="",'Model inputs'!B202=""),"",OR(IF(ISERROR('Scenario comparison'!R8=1),'Scenario comparison'!R8=1,IF('Scenario comparison'!R8="","",'Scenario comparison'!R8=1)),'Model inputs'!B202))))="",FALSE,IF(IFERROR(IF(ISERROR('Scenario comparison'!R8=1),'Scenario comparison'!R8=1,IF('Scenario comparison'!R8="","",'Scenario comparison'!R8=1))=TRUE,FALSE),TRUE,IF(IFERROR('Model inputs'!B202=TRUE,FALSE),TRUE,IF(OR(IF(ISERROR('Scenario comparison'!R8=1),'Scenario comparison'!R8=1,IF('Scenario comparison'!R8="","",'Scenario comparison'!R8=1))="",'Model inputs'!B202=""),"",OR(IF(ISERROR('Scenario comparison'!R8=1),'Scenario comparison'!R8=1,IF('Scenario comparison'!R8="","",'Scenario comparison'!R8=1)),'Model inputs'!B202))))),1,0))</f>
        <v>0</v>
      </c>
      <c r="V8" s="8">
        <f>IF(IF(IF(ISERROR('Model inputs'!I61&lt;'Model inputs'!O20),'Model inputs'!I61&lt;'Model inputs'!O20,IF(OR('Model inputs'!I61="",'Model inputs'!O20=""),"",'Model inputs'!I61&lt;'Model inputs'!O20))="",FALSE,IF(ISERROR('Model inputs'!I61&lt;'Model inputs'!O20),'Model inputs'!I61&lt;'Model inputs'!O20,IF(OR('Model inputs'!I61="",'Model inputs'!O20=""),"",'Model inputs'!I61&lt;'Model inputs'!O20))),0,IF(IF(IF(IFERROR(IF(ISERROR('Scenario comparison'!S8=1),'Scenario comparison'!S8=1,IF('Scenario comparison'!S8="","",'Scenario comparison'!S8=1))=TRUE,FALSE),TRUE,IF(IFERROR('Model inputs'!B203=TRUE,FALSE),TRUE,IF(OR(IF(ISERROR('Scenario comparison'!S8=1),'Scenario comparison'!S8=1,IF('Scenario comparison'!S8="","",'Scenario comparison'!S8=1))="",'Model inputs'!B203=""),"",OR(IF(ISERROR('Scenario comparison'!S8=1),'Scenario comparison'!S8=1,IF('Scenario comparison'!S8="","",'Scenario comparison'!S8=1)),'Model inputs'!B203))))="",FALSE,IF(IFERROR(IF(ISERROR('Scenario comparison'!S8=1),'Scenario comparison'!S8=1,IF('Scenario comparison'!S8="","",'Scenario comparison'!S8=1))=TRUE,FALSE),TRUE,IF(IFERROR('Model inputs'!B203=TRUE,FALSE),TRUE,IF(OR(IF(ISERROR('Scenario comparison'!S8=1),'Scenario comparison'!S8=1,IF('Scenario comparison'!S8="","",'Scenario comparison'!S8=1))="",'Model inputs'!B203=""),"",OR(IF(ISERROR('Scenario comparison'!S8=1),'Scenario comparison'!S8=1,IF('Scenario comparison'!S8="","",'Scenario comparison'!S8=1)),'Model inputs'!B203))))),1,0))</f>
        <v>0</v>
      </c>
      <c r="W8" s="8">
        <f>IF(IF(IF(ISERROR('Monthly operating and hiring fo'!I9&lt;'Pricing and operating assumptio'!B16),'Monthly operating and hiring fo'!I9&lt;'Pricing and operating assumptio'!B16,IF(OR('Monthly operating and hiring fo'!I9="",'Pricing and operating assumptio'!B16=""),"",'Monthly operating and hiring fo'!I9&lt;'Pricing and operating assumptio'!B16))="",FALSE,IF(ISERROR('Monthly operating and hiring fo'!I9&lt;'Pricing and operating assumptio'!B16),'Monthly operating and hiring fo'!I9&lt;'Pricing and operating assumptio'!B16,IF(OR('Monthly operating and hiring fo'!I9="",'Pricing and operating assumptio'!B16=""),"",'Monthly operating and hiring fo'!I9&lt;'Pricing and operating assumptio'!B16))),0,IF(IF(IF(IFERROR(IF(ISERROR('Scenario comparison'!T8=1),'Scenario comparison'!T8=1,IF('Scenario comparison'!T8="","",'Scenario comparison'!T8=1))=TRUE,FALSE),TRUE,IF(IFERROR('Model inputs'!B181=TRUE,FALSE),TRUE,IF(OR(IF(ISERROR('Scenario comparison'!T8=1),'Scenario comparison'!T8=1,IF('Scenario comparison'!T8="","",'Scenario comparison'!T8=1))="",'Model inputs'!B181=""),"",OR(IF(ISERROR('Scenario comparison'!T8=1),'Scenario comparison'!T8=1,IF('Scenario comparison'!T8="","",'Scenario comparison'!T8=1)),'Model inputs'!B181))))="",FALSE,IF(IFERROR(IF(ISERROR('Scenario comparison'!T8=1),'Scenario comparison'!T8=1,IF('Scenario comparison'!T8="","",'Scenario comparison'!T8=1))=TRUE,FALSE),TRUE,IF(IFERROR('Model inputs'!B181=TRUE,FALSE),TRUE,IF(OR(IF(ISERROR('Scenario comparison'!T8=1),'Scenario comparison'!T8=1,IF('Scenario comparison'!T8="","",'Scenario comparison'!T8=1))="",'Model inputs'!B181=""),"",OR(IF(ISERROR('Scenario comparison'!T8=1),'Scenario comparison'!T8=1,IF('Scenario comparison'!T8="","",'Scenario comparison'!T8=1)),'Model inputs'!B181))))),1,0))</f>
        <v>0</v>
      </c>
      <c r="X8" s="8">
        <f>IF(IF(IF(ISERROR('Model inputs'!J60&lt;'Model inputs'!O19),'Model inputs'!J60&lt;'Model inputs'!O19,IF(OR('Model inputs'!J60="",'Model inputs'!O19=""),"",'Model inputs'!J60&lt;'Model inputs'!O19))="",FALSE,IF(ISERROR('Model inputs'!J60&lt;'Model inputs'!O19),'Model inputs'!J60&lt;'Model inputs'!O19,IF(OR('Model inputs'!J60="",'Model inputs'!O19=""),"",'Model inputs'!J60&lt;'Model inputs'!O19))),0,IF(IF(IF(IFERROR(IF(ISERROR('Scenario comparison'!U8=1),'Scenario comparison'!U8=1,IF('Scenario comparison'!U8="","",'Scenario comparison'!U8=1))=TRUE,FALSE),TRUE,IF(IFERROR('Model inputs'!B204=TRUE,FALSE),TRUE,IF(OR(IF(ISERROR('Scenario comparison'!U8=1),'Scenario comparison'!U8=1,IF('Scenario comparison'!U8="","",'Scenario comparison'!U8=1))="",'Model inputs'!B204=""),"",OR(IF(ISERROR('Scenario comparison'!U8=1),'Scenario comparison'!U8=1,IF('Scenario comparison'!U8="","",'Scenario comparison'!U8=1)),'Model inputs'!B204))))="",FALSE,IF(IFERROR(IF(ISERROR('Scenario comparison'!U8=1),'Scenario comparison'!U8=1,IF('Scenario comparison'!U8="","",'Scenario comparison'!U8=1))=TRUE,FALSE),TRUE,IF(IFERROR('Model inputs'!B204=TRUE,FALSE),TRUE,IF(OR(IF(ISERROR('Scenario comparison'!U8=1),'Scenario comparison'!U8=1,IF('Scenario comparison'!U8="","",'Scenario comparison'!U8=1))="",'Model inputs'!B204=""),"",OR(IF(ISERROR('Scenario comparison'!U8=1),'Scenario comparison'!U8=1,IF('Scenario comparison'!U8="","",'Scenario comparison'!U8=1)),'Model inputs'!B204))))),1,0))</f>
        <v>0</v>
      </c>
      <c r="Y8" s="8">
        <f>IF(IF(IF(ISERROR('Model inputs'!J61&lt;'Model inputs'!O20),'Model inputs'!J61&lt;'Model inputs'!O20,IF(OR('Model inputs'!J61="",'Model inputs'!O20=""),"",'Model inputs'!J61&lt;'Model inputs'!O20))="",FALSE,IF(ISERROR('Model inputs'!J61&lt;'Model inputs'!O20),'Model inputs'!J61&lt;'Model inputs'!O20,IF(OR('Model inputs'!J61="",'Model inputs'!O20=""),"",'Model inputs'!J61&lt;'Model inputs'!O20))),0,IF(IF(IF(IFERROR(IF(ISERROR('Scenario comparison'!V8=1),'Scenario comparison'!V8=1,IF('Scenario comparison'!V8="","",'Scenario comparison'!V8=1))=TRUE,FALSE),TRUE,IF(IFERROR('Model inputs'!B205=TRUE,FALSE),TRUE,IF(OR(IF(ISERROR('Scenario comparison'!V8=1),'Scenario comparison'!V8=1,IF('Scenario comparison'!V8="","",'Scenario comparison'!V8=1))="",'Model inputs'!B205=""),"",OR(IF(ISERROR('Scenario comparison'!V8=1),'Scenario comparison'!V8=1,IF('Scenario comparison'!V8="","",'Scenario comparison'!V8=1)),'Model inputs'!B205))))="",FALSE,IF(IFERROR(IF(ISERROR('Scenario comparison'!V8=1),'Scenario comparison'!V8=1,IF('Scenario comparison'!V8="","",'Scenario comparison'!V8=1))=TRUE,FALSE),TRUE,IF(IFERROR('Model inputs'!B205=TRUE,FALSE),TRUE,IF(OR(IF(ISERROR('Scenario comparison'!V8=1),'Scenario comparison'!V8=1,IF('Scenario comparison'!V8="","",'Scenario comparison'!V8=1))="",'Model inputs'!B205=""),"",OR(IF(ISERROR('Scenario comparison'!V8=1),'Scenario comparison'!V8=1,IF('Scenario comparison'!V8="","",'Scenario comparison'!V8=1)),'Model inputs'!B205))))),1,0))</f>
        <v>0</v>
      </c>
      <c r="Z8" s="8">
        <f>IF(IF(IF(ISERROR('Monthly operating and hiring fo'!J9&lt;'Pricing and operating assumptio'!B16),'Monthly operating and hiring fo'!J9&lt;'Pricing and operating assumptio'!B16,IF(OR('Monthly operating and hiring fo'!J9="",'Pricing and operating assumptio'!B16=""),"",'Monthly operating and hiring fo'!J9&lt;'Pricing and operating assumptio'!B16))="",FALSE,IF(ISERROR('Monthly operating and hiring fo'!J9&lt;'Pricing and operating assumptio'!B16),'Monthly operating and hiring fo'!J9&lt;'Pricing and operating assumptio'!B16,IF(OR('Monthly operating and hiring fo'!J9="",'Pricing and operating assumptio'!B16=""),"",'Monthly operating and hiring fo'!J9&lt;'Pricing and operating assumptio'!B16))),0,IF(IF(IF(IFERROR(IF(ISERROR('Scenario comparison'!W8=1),'Scenario comparison'!W8=1,IF('Scenario comparison'!W8="","",'Scenario comparison'!W8=1))=TRUE,FALSE),TRUE,IF(IFERROR('Model inputs'!B183=TRUE,FALSE),TRUE,IF(OR(IF(ISERROR('Scenario comparison'!W8=1),'Scenario comparison'!W8=1,IF('Scenario comparison'!W8="","",'Scenario comparison'!W8=1))="",'Model inputs'!B183=""),"",OR(IF(ISERROR('Scenario comparison'!W8=1),'Scenario comparison'!W8=1,IF('Scenario comparison'!W8="","",'Scenario comparison'!W8=1)),'Model inputs'!B183))))="",FALSE,IF(IFERROR(IF(ISERROR('Scenario comparison'!W8=1),'Scenario comparison'!W8=1,IF('Scenario comparison'!W8="","",'Scenario comparison'!W8=1))=TRUE,FALSE),TRUE,IF(IFERROR('Model inputs'!B183=TRUE,FALSE),TRUE,IF(OR(IF(ISERROR('Scenario comparison'!W8=1),'Scenario comparison'!W8=1,IF('Scenario comparison'!W8="","",'Scenario comparison'!W8=1))="",'Model inputs'!B183=""),"",OR(IF(ISERROR('Scenario comparison'!W8=1),'Scenario comparison'!W8=1,IF('Scenario comparison'!W8="","",'Scenario comparison'!W8=1)),'Model inputs'!B183))))),1,0))</f>
        <v>0</v>
      </c>
      <c r="AA8" s="8">
        <f>IF(IF(IF(ISERROR('Model inputs'!K60&lt;'Model inputs'!O19),'Model inputs'!K60&lt;'Model inputs'!O19,IF(OR('Model inputs'!K60="",'Model inputs'!O19=""),"",'Model inputs'!K60&lt;'Model inputs'!O19))="",FALSE,IF(ISERROR('Model inputs'!K60&lt;'Model inputs'!O19),'Model inputs'!K60&lt;'Model inputs'!O19,IF(OR('Model inputs'!K60="",'Model inputs'!O19=""),"",'Model inputs'!K60&lt;'Model inputs'!O19))),0,IF(IF(IF(IFERROR(IF(ISERROR('Scenario comparison'!X8=1),'Scenario comparison'!X8=1,IF('Scenario comparison'!X8="","",'Scenario comparison'!X8=1))=TRUE,FALSE),TRUE,IF(IFERROR('Model inputs'!B206=TRUE,FALSE),TRUE,IF(OR(IF(ISERROR('Scenario comparison'!X8=1),'Scenario comparison'!X8=1,IF('Scenario comparison'!X8="","",'Scenario comparison'!X8=1))="",'Model inputs'!B206=""),"",OR(IF(ISERROR('Scenario comparison'!X8=1),'Scenario comparison'!X8=1,IF('Scenario comparison'!X8="","",'Scenario comparison'!X8=1)),'Model inputs'!B206))))="",FALSE,IF(IFERROR(IF(ISERROR('Scenario comparison'!X8=1),'Scenario comparison'!X8=1,IF('Scenario comparison'!X8="","",'Scenario comparison'!X8=1))=TRUE,FALSE),TRUE,IF(IFERROR('Model inputs'!B206=TRUE,FALSE),TRUE,IF(OR(IF(ISERROR('Scenario comparison'!X8=1),'Scenario comparison'!X8=1,IF('Scenario comparison'!X8="","",'Scenario comparison'!X8=1))="",'Model inputs'!B206=""),"",OR(IF(ISERROR('Scenario comparison'!X8=1),'Scenario comparison'!X8=1,IF('Scenario comparison'!X8="","",'Scenario comparison'!X8=1)),'Model inputs'!B206))))),1,0))</f>
        <v>0</v>
      </c>
      <c r="AB8" s="8">
        <f>IF(IF(IF(ISERROR('Model inputs'!K61&lt;'Model inputs'!O20),'Model inputs'!K61&lt;'Model inputs'!O20,IF(OR('Model inputs'!K61="",'Model inputs'!O20=""),"",'Model inputs'!K61&lt;'Model inputs'!O20))="",FALSE,IF(ISERROR('Model inputs'!K61&lt;'Model inputs'!O20),'Model inputs'!K61&lt;'Model inputs'!O20,IF(OR('Model inputs'!K61="",'Model inputs'!O20=""),"",'Model inputs'!K61&lt;'Model inputs'!O20))),0,IF(IF(IF(IFERROR(IF(ISERROR('Scenario comparison'!Y8=1),'Scenario comparison'!Y8=1,IF('Scenario comparison'!Y8="","",'Scenario comparison'!Y8=1))=TRUE,FALSE),TRUE,IF(IFERROR('Model inputs'!B207=TRUE,FALSE),TRUE,IF(OR(IF(ISERROR('Scenario comparison'!Y8=1),'Scenario comparison'!Y8=1,IF('Scenario comparison'!Y8="","",'Scenario comparison'!Y8=1))="",'Model inputs'!B207=""),"",OR(IF(ISERROR('Scenario comparison'!Y8=1),'Scenario comparison'!Y8=1,IF('Scenario comparison'!Y8="","",'Scenario comparison'!Y8=1)),'Model inputs'!B207))))="",FALSE,IF(IFERROR(IF(ISERROR('Scenario comparison'!Y8=1),'Scenario comparison'!Y8=1,IF('Scenario comparison'!Y8="","",'Scenario comparison'!Y8=1))=TRUE,FALSE),TRUE,IF(IFERROR('Model inputs'!B207=TRUE,FALSE),TRUE,IF(OR(IF(ISERROR('Scenario comparison'!Y8=1),'Scenario comparison'!Y8=1,IF('Scenario comparison'!Y8="","",'Scenario comparison'!Y8=1))="",'Model inputs'!B207=""),"",OR(IF(ISERROR('Scenario comparison'!Y8=1),'Scenario comparison'!Y8=1,IF('Scenario comparison'!Y8="","",'Scenario comparison'!Y8=1)),'Model inputs'!B207))))),1,0))</f>
        <v>0</v>
      </c>
      <c r="AC8" s="8">
        <f>IF(IF(IF(ISERROR('Monthly operating and hiring fo'!K9&lt;'Pricing and operating assumptio'!B16),'Monthly operating and hiring fo'!K9&lt;'Pricing and operating assumptio'!B16,IF(OR('Monthly operating and hiring fo'!K9="",'Pricing and operating assumptio'!B16=""),"",'Monthly operating and hiring fo'!K9&lt;'Pricing and operating assumptio'!B16))="",FALSE,IF(ISERROR('Monthly operating and hiring fo'!K9&lt;'Pricing and operating assumptio'!B16),'Monthly operating and hiring fo'!K9&lt;'Pricing and operating assumptio'!B16,IF(OR('Monthly operating and hiring fo'!K9="",'Pricing and operating assumptio'!B16=""),"",'Monthly operating and hiring fo'!K9&lt;'Pricing and operating assumptio'!B16))),0,IF(IF(IF(IFERROR(IF(ISERROR('Scenario comparison'!Z8=1),'Scenario comparison'!Z8=1,IF('Scenario comparison'!Z8="","",'Scenario comparison'!Z8=1))=TRUE,FALSE),TRUE,IF(IFERROR('Model inputs'!B185=TRUE,FALSE),TRUE,IF(OR(IF(ISERROR('Scenario comparison'!Z8=1),'Scenario comparison'!Z8=1,IF('Scenario comparison'!Z8="","",'Scenario comparison'!Z8=1))="",'Model inputs'!B185=""),"",OR(IF(ISERROR('Scenario comparison'!Z8=1),'Scenario comparison'!Z8=1,IF('Scenario comparison'!Z8="","",'Scenario comparison'!Z8=1)),'Model inputs'!B185))))="",FALSE,IF(IFERROR(IF(ISERROR('Scenario comparison'!Z8=1),'Scenario comparison'!Z8=1,IF('Scenario comparison'!Z8="","",'Scenario comparison'!Z8=1))=TRUE,FALSE),TRUE,IF(IFERROR('Model inputs'!B185=TRUE,FALSE),TRUE,IF(OR(IF(ISERROR('Scenario comparison'!Z8=1),'Scenario comparison'!Z8=1,IF('Scenario comparison'!Z8="","",'Scenario comparison'!Z8=1))="",'Model inputs'!B185=""),"",OR(IF(ISERROR('Scenario comparison'!Z8=1),'Scenario comparison'!Z8=1,IF('Scenario comparison'!Z8="","",'Scenario comparison'!Z8=1)),'Model inputs'!B185))))),1,0))</f>
        <v>0</v>
      </c>
      <c r="AD8" s="8">
        <f>IF(IF(IF(ISERROR('Model inputs'!L60&lt;'Model inputs'!O19),'Model inputs'!L60&lt;'Model inputs'!O19,IF(OR('Model inputs'!L60="",'Model inputs'!O19=""),"",'Model inputs'!L60&lt;'Model inputs'!O19))="",FALSE,IF(ISERROR('Model inputs'!L60&lt;'Model inputs'!O19),'Model inputs'!L60&lt;'Model inputs'!O19,IF(OR('Model inputs'!L60="",'Model inputs'!O19=""),"",'Model inputs'!L60&lt;'Model inputs'!O19))),0,IF(IF(IF(IFERROR('Model inputs'!B208=TRUE,FALSE),TRUE,IF(IFERROR('Model inputs'!B209=TRUE,FALSE),TRUE,IF(OR('Model inputs'!B208="",'Model inputs'!B209=""),"",OR('Model inputs'!B208,'Model inputs'!B209))))="",FALSE,IF(IFERROR('Model inputs'!B208=TRUE,FALSE),TRUE,IF(IFERROR('Model inputs'!B209=TRUE,FALSE),TRUE,IF(OR('Model inputs'!B208="",'Model inputs'!B209=""),"",OR('Model inputs'!B208,'Model inputs'!B209))))),1,0))</f>
        <v>0</v>
      </c>
      <c r="AE8" s="8">
        <f>IF(IF(IF(ISERROR('Model inputs'!L61&lt;'Model inputs'!O20),'Model inputs'!L61&lt;'Model inputs'!O20,IF(OR('Model inputs'!L61="",'Model inputs'!O20=""),"",'Model inputs'!L61&lt;'Model inputs'!O20))="",FALSE,IF(ISERROR('Model inputs'!L61&lt;'Model inputs'!O20),'Model inputs'!L61&lt;'Model inputs'!O20,IF(OR('Model inputs'!L61="",'Model inputs'!O20=""),"",'Model inputs'!L61&lt;'Model inputs'!O20))),0,IF(IF(IF(IFERROR('Model inputs'!B210=TRUE,FALSE),TRUE,IF(IFERROR('Model inputs'!B211=TRUE,FALSE),TRUE,IF(OR('Model inputs'!B210="",'Model inputs'!B211=""),"",OR('Model inputs'!B210,'Model inputs'!B211))))="",FALSE,IF(IFERROR('Model inputs'!B210=TRUE,FALSE),TRUE,IF(IFERROR('Model inputs'!B211=TRUE,FALSE),TRUE,IF(OR('Model inputs'!B210="",'Model inputs'!B211=""),"",OR('Model inputs'!B210,'Model inputs'!B211))))),1,0))</f>
        <v>0</v>
      </c>
      <c r="AF8" s="8">
        <f>IF(IF(IF(ISERROR('Monthly operating and hiring fo'!L9&lt;'Pricing and operating assumptio'!B16),'Monthly operating and hiring fo'!L9&lt;'Pricing and operating assumptio'!B16,IF(OR('Monthly operating and hiring fo'!L9="",'Pricing and operating assumptio'!B16=""),"",'Monthly operating and hiring fo'!L9&lt;'Pricing and operating assumptio'!B16))="",FALSE,IF(ISERROR('Monthly operating and hiring fo'!L9&lt;'Pricing and operating assumptio'!B16),'Monthly operating and hiring fo'!L9&lt;'Pricing and operating assumptio'!B16,IF(OR('Monthly operating and hiring fo'!L9="",'Pricing and operating assumptio'!B16=""),"",'Monthly operating and hiring fo'!L9&lt;'Pricing and operating assumptio'!B16))),0,IF(IF(IF(IFERROR('Model inputs'!B212=TRUE,FALSE),TRUE,IF(IFERROR('Model inputs'!B187=TRUE,FALSE),TRUE,IF(OR('Model inputs'!B212="",'Model inputs'!B187=""),"",OR('Model inputs'!B212,'Model inputs'!B187))))="",FALSE,IF(IFERROR('Model inputs'!B212=TRUE,FALSE),TRUE,IF(IFERROR('Model inputs'!B187=TRUE,FALSE),TRUE,IF(OR('Model inputs'!B212="",'Model inputs'!B187=""),"",OR('Model inputs'!B212,'Model inputs'!B187))))),1,0))</f>
        <v>0</v>
      </c>
      <c r="AG8" s="8">
        <f>IF(IF(IF(ISERROR('Model inputs'!M60&lt;'Model inputs'!O19),'Model inputs'!M60&lt;'Model inputs'!O19,IF(OR('Model inputs'!M60="",'Model inputs'!O19=""),"",'Model inputs'!M60&lt;'Model inputs'!O19))="",FALSE,IF(ISERROR('Model inputs'!M60&lt;'Model inputs'!O19),'Model inputs'!M60&lt;'Model inputs'!O19,IF(OR('Model inputs'!M60="",'Model inputs'!O19=""),"",'Model inputs'!M60&lt;'Model inputs'!O19))),0,IF(IF(IF(IFERROR('Model inputs'!B213=TRUE,FALSE),TRUE,IF(IFERROR('Model inputs'!B214=TRUE,FALSE),TRUE,IF(OR('Model inputs'!B213="",'Model inputs'!B214=""),"",OR('Model inputs'!B213,'Model inputs'!B214))))="",FALSE,IF(IFERROR('Model inputs'!B213=TRUE,FALSE),TRUE,IF(IFERROR('Model inputs'!B214=TRUE,FALSE),TRUE,IF(OR('Model inputs'!B213="",'Model inputs'!B214=""),"",OR('Model inputs'!B213,'Model inputs'!B214))))),1,0))</f>
        <v>0</v>
      </c>
      <c r="AH8" s="8">
        <f>IF(IF(IF(ISERROR('Model inputs'!M61&lt;'Model inputs'!O20),'Model inputs'!M61&lt;'Model inputs'!O20,IF(OR('Model inputs'!M61="",'Model inputs'!O20=""),"",'Model inputs'!M61&lt;'Model inputs'!O20))="",FALSE,IF(ISERROR('Model inputs'!M61&lt;'Model inputs'!O20),'Model inputs'!M61&lt;'Model inputs'!O20,IF(OR('Model inputs'!M61="",'Model inputs'!O20=""),"",'Model inputs'!M61&lt;'Model inputs'!O20))),0,IF(IF(IF(IFERROR('Model inputs'!B215=TRUE,FALSE),TRUE,IF(IFERROR('Model inputs'!B216=TRUE,FALSE),TRUE,IF(OR('Model inputs'!B215="",'Model inputs'!B216=""),"",OR('Model inputs'!B215,'Model inputs'!B216))))="",FALSE,IF(IFERROR('Model inputs'!B215=TRUE,FALSE),TRUE,IF(IFERROR('Model inputs'!B216=TRUE,FALSE),TRUE,IF(OR('Model inputs'!B215="",'Model inputs'!B216=""),"",OR('Model inputs'!B215,'Model inputs'!B216))))),1,0))</f>
        <v>0</v>
      </c>
      <c r="AI8" s="8">
        <f>IF(IF(IF(ISERROR('Monthly operating and hiring fo'!M9&lt;'Pricing and operating assumptio'!B16),'Monthly operating and hiring fo'!M9&lt;'Pricing and operating assumptio'!B16,IF(OR('Monthly operating and hiring fo'!M9="",'Pricing and operating assumptio'!B16=""),"",'Monthly operating and hiring fo'!M9&lt;'Pricing and operating assumptio'!B16))="",FALSE,IF(ISERROR('Monthly operating and hiring fo'!M9&lt;'Pricing and operating assumptio'!B16),'Monthly operating and hiring fo'!M9&lt;'Pricing and operating assumptio'!B16,IF(OR('Monthly operating and hiring fo'!M9="",'Pricing and operating assumptio'!B16=""),"",'Monthly operating and hiring fo'!M9&lt;'Pricing and operating assumptio'!B16))),0,IF(IF(IF(IFERROR('Model inputs'!B217=TRUE,FALSE),TRUE,IF(IFERROR('Model inputs'!B189=TRUE,FALSE),TRUE,IF(OR('Model inputs'!B217="",'Model inputs'!B189=""),"",OR('Model inputs'!B217,'Model inputs'!B189))))="",FALSE,IF(IFERROR('Model inputs'!B217=TRUE,FALSE),TRUE,IF(IFERROR('Model inputs'!B189=TRUE,FALSE),TRUE,IF(OR('Model inputs'!B217="",'Model inputs'!B189=""),"",OR('Model inputs'!B217,'Model inputs'!B189))))),1,0))</f>
        <v>0</v>
      </c>
      <c r="AJ8" s="8">
        <f>IF(IF(IF(ISERROR('Model inputs'!N60&lt;'Model inputs'!O19),'Model inputs'!N60&lt;'Model inputs'!O19,IF(OR('Model inputs'!N60="",'Model inputs'!O19=""),"",'Model inputs'!N60&lt;'Model inputs'!O19))="",FALSE,IF(ISERROR('Model inputs'!N60&lt;'Model inputs'!O19),'Model inputs'!N60&lt;'Model inputs'!O19,IF(OR('Model inputs'!N60="",'Model inputs'!O19=""),"",'Model inputs'!N60&lt;'Model inputs'!O19))),0,IF(IF(IF(IFERROR('Model inputs'!B218=TRUE,FALSE),TRUE,IF(IFERROR('Model inputs'!B219=TRUE,FALSE),TRUE,IF(OR('Model inputs'!B218="",'Model inputs'!B219=""),"",OR('Model inputs'!B218,'Model inputs'!B219))))="",FALSE,IF(IFERROR('Model inputs'!B218=TRUE,FALSE),TRUE,IF(IFERROR('Model inputs'!B219=TRUE,FALSE),TRUE,IF(OR('Model inputs'!B218="",'Model inputs'!B219=""),"",OR('Model inputs'!B218,'Model inputs'!B219))))),1,0))</f>
        <v>1</v>
      </c>
      <c r="AK8" s="8">
        <f>IF(IF(IF(ISERROR('Model inputs'!N61&lt;'Model inputs'!O20),'Model inputs'!N61&lt;'Model inputs'!O20,IF(OR('Model inputs'!N61="",'Model inputs'!O20=""),"",'Model inputs'!N61&lt;'Model inputs'!O20))="",FALSE,IF(ISERROR('Model inputs'!N61&lt;'Model inputs'!O20),'Model inputs'!N61&lt;'Model inputs'!O20,IF(OR('Model inputs'!N61="",'Model inputs'!O20=""),"",'Model inputs'!N61&lt;'Model inputs'!O20))),0,IF(IF(IF(IFERROR('Model inputs'!B220=TRUE,FALSE),TRUE,IF(IFERROR('Model inputs'!B221=TRUE,FALSE),TRUE,IF(OR('Model inputs'!B220="",'Model inputs'!B221=""),"",OR('Model inputs'!B220,'Model inputs'!B221))))="",FALSE,IF(IFERROR('Model inputs'!B220=TRUE,FALSE),TRUE,IF(IFERROR('Model inputs'!B221=TRUE,FALSE),TRUE,IF(OR('Model inputs'!B220="",'Model inputs'!B221=""),"",OR('Model inputs'!B220,'Model inputs'!B221))))),1,0))</f>
        <v>0</v>
      </c>
    </row>
    <row r="9">
      <c r="A9" t="inlineStr" s="7">
        <is>
          <t xml:space="preserve">Cumulative operating cash</t>
        </is>
      </c>
      <c r="B9" s="15">
        <f>IF(IF(IF(ISERROR('Monthly operating and hiring fo'!B9=1),'Monthly operating and hiring fo'!B9=1,IF('Monthly operating and hiring fo'!B9="","",'Monthly operating and hiring fo'!B9=1))="",FALSE,IF(ISERROR('Monthly operating and hiring fo'!B9=1),'Monthly operating and hiring fo'!B9=1,IF('Monthly operating and hiring fo'!B9="","",'Monthly operating and hiring fo'!B9=1))),IF('Scenario comparison'!B7="","",'Scenario comparison'!B7),'Model inputs'!B15+'Scenario comparison'!B7)</f>
        <v>-154.5</v>
      </c>
      <c r="C9" s="15">
        <f>IF(IF(IF(ISERROR('Model inputs'!C60=1),'Model inputs'!C60=1,IF('Model inputs'!C60="","",'Model inputs'!C60=1))="",FALSE,IF(ISERROR('Model inputs'!C60=1),'Model inputs'!C60=1,IF('Model inputs'!C60="","",'Model inputs'!C60=1))),IF('Scenario comparison'!C7="","",'Scenario comparison'!C7),'Model inputs'!B16+'Scenario comparison'!C7)</f>
        <v>29.5</v>
      </c>
      <c r="D9" s="15">
        <f>IF(IF(IF(ISERROR('Model inputs'!C61=1),'Model inputs'!C61=1,IF('Model inputs'!C61="","",'Model inputs'!C61=1))="",FALSE,IF(ISERROR('Model inputs'!C61=1),'Model inputs'!C61=1,IF('Model inputs'!C61="","",'Model inputs'!C61=1))),IF('Scenario comparison'!D7="","",'Scenario comparison'!D7),'Model inputs'!B17+'Scenario comparison'!D7)</f>
        <v>-154.5</v>
      </c>
      <c r="E9" s="15">
        <f>IF(IF(IF(ISERROR('Monthly operating and hiring fo'!C9=1),'Monthly operating and hiring fo'!C9=1,IF('Monthly operating and hiring fo'!C9="","",'Monthly operating and hiring fo'!C9=1))="",FALSE,IF(ISERROR('Monthly operating and hiring fo'!C9=1),'Monthly operating and hiring fo'!C9=1,IF('Monthly operating and hiring fo'!C9="","",'Monthly operating and hiring fo'!C9=1))),IF('Scenario comparison'!E7="","",'Scenario comparison'!E7),'Scenario comparison'!B9+'Scenario comparison'!E7)</f>
        <v>-129.5</v>
      </c>
      <c r="F9" s="15">
        <f>IF(IF(IF(ISERROR('Model inputs'!D60=1),'Model inputs'!D60=1,IF('Model inputs'!D60="","",'Model inputs'!D60=1))="",FALSE,IF(ISERROR('Model inputs'!D60=1),'Model inputs'!D60=1,IF('Model inputs'!D60="","",'Model inputs'!D60=1))),IF('Scenario comparison'!F7="","",'Scenario comparison'!F7),'Scenario comparison'!C9+'Scenario comparison'!F7)</f>
        <v>238.5</v>
      </c>
      <c r="G9" s="15">
        <f>IF(IF(IF(ISERROR('Model inputs'!D61=1),'Model inputs'!D61=1,IF('Model inputs'!D61="","",'Model inputs'!D61=1))="",FALSE,IF(ISERROR('Model inputs'!D61=1),'Model inputs'!D61=1,IF('Model inputs'!D61="","",'Model inputs'!D61=1))),IF('Scenario comparison'!G7="","",'Scenario comparison'!G7),'Scenario comparison'!D9+'Scenario comparison'!G7)</f>
        <v>-313.5</v>
      </c>
      <c r="H9" s="15">
        <f>IF(IF(IF(ISERROR('Monthly operating and hiring fo'!D9=1),'Monthly operating and hiring fo'!D9=1,IF('Monthly operating and hiring fo'!D9="","",'Monthly operating and hiring fo'!D9=1))="",FALSE,IF(ISERROR('Monthly operating and hiring fo'!D9=1),'Monthly operating and hiring fo'!D9=1,IF('Monthly operating and hiring fo'!D9="","",'Monthly operating and hiring fo'!D9=1))),IF('Scenario comparison'!H7="","",'Scenario comparison'!H7),'Scenario comparison'!E9+'Scenario comparison'!H7)</f>
        <v>73.5</v>
      </c>
      <c r="I9" s="15">
        <f>IF(IF(IF(ISERROR('Model inputs'!E60=1),'Model inputs'!E60=1,IF('Model inputs'!E60="","",'Model inputs'!E60=1))="",FALSE,IF(ISERROR('Model inputs'!E60=1),'Model inputs'!E60=1,IF('Model inputs'!E60="","",'Model inputs'!E60=1))),IF('Scenario comparison'!I7="","",'Scenario comparison'!I7),'Scenario comparison'!F9+'Scenario comparison'!I7)</f>
        <v>809.5</v>
      </c>
      <c r="J9" s="15">
        <f>IF(IF(IF(ISERROR('Model inputs'!E61=1),'Model inputs'!E61=1,IF('Model inputs'!E61="","",'Model inputs'!E61=1))="",FALSE,IF(ISERROR('Model inputs'!E61=1),'Model inputs'!E61=1,IF('Model inputs'!E61="","",'Model inputs'!E61=1))),IF('Scenario comparison'!J7="","",'Scenario comparison'!J7),'Scenario comparison'!G9+'Scenario comparison'!J7)</f>
        <v>-294.5</v>
      </c>
      <c r="K9" s="15">
        <f>IF(IF(IF(ISERROR('Monthly operating and hiring fo'!E9=1),'Monthly operating and hiring fo'!E9=1,IF('Monthly operating and hiring fo'!E9="","",'Monthly operating and hiring fo'!E9=1))="",FALSE,IF(ISERROR('Monthly operating and hiring fo'!E9=1),'Monthly operating and hiring fo'!E9=1,IF('Monthly operating and hiring fo'!E9="","",'Monthly operating and hiring fo'!E9=1))),IF('Scenario comparison'!K7="","",'Scenario comparison'!K7),'Scenario comparison'!H9+'Scenario comparison'!K7)</f>
        <v>460.5</v>
      </c>
      <c r="L9" s="15">
        <f>IF(IF(IF(ISERROR('Model inputs'!F60=1),'Model inputs'!F60=1,IF('Model inputs'!F60="","",'Model inputs'!F60=1))="",FALSE,IF(ISERROR('Model inputs'!F60=1),'Model inputs'!F60=1,IF('Model inputs'!F60="","",'Model inputs'!F60=1))),IF('Scenario comparison'!L7="","",'Scenario comparison'!L7),'Scenario comparison'!I9+'Scenario comparison'!L7)</f>
        <v>1748.5</v>
      </c>
      <c r="M9" s="15">
        <f>IF(IF(IF(ISERROR('Model inputs'!F61=1),'Model inputs'!F61=1,IF('Model inputs'!F61="","",'Model inputs'!F61=1))="",FALSE,IF(ISERROR('Model inputs'!F61=1),'Model inputs'!F61=1,IF('Model inputs'!F61="","",'Model inputs'!F61=1))),IF('Scenario comparison'!M7="","",'Scenario comparison'!M7),'Scenario comparison'!J9+'Scenario comparison'!M7)</f>
        <v>-275.5</v>
      </c>
      <c r="N9" s="15">
        <f>IF(IF(IF(ISERROR('Monthly operating and hiring fo'!F9=1),'Monthly operating and hiring fo'!F9=1,IF('Monthly operating and hiring fo'!F9="","",'Monthly operating and hiring fo'!F9=1))="",FALSE,IF(ISERROR('Monthly operating and hiring fo'!F9=1),'Monthly operating and hiring fo'!F9=1,IF('Monthly operating and hiring fo'!F9="","",'Monthly operating and hiring fo'!F9=1))),IF('Scenario comparison'!N7="","",'Scenario comparison'!N7),'Scenario comparison'!K9+'Scenario comparison'!N7)</f>
        <v>1031.5</v>
      </c>
      <c r="O9" s="15">
        <f>IF(IF(IF(ISERROR('Model inputs'!G60=1),'Model inputs'!G60=1,IF('Model inputs'!G60="","",'Model inputs'!G60=1))="",FALSE,IF(ISERROR('Model inputs'!G60=1),'Model inputs'!G60=1,IF('Model inputs'!G60="","",'Model inputs'!G60=1))),IF('Scenario comparison'!O7="","",'Scenario comparison'!O7),'Scenario comparison'!L9+'Scenario comparison'!O7)</f>
        <v>3239.5</v>
      </c>
      <c r="P9" s="15">
        <f>IF(IF(IF(ISERROR('Model inputs'!G61=1),'Model inputs'!G61=1,IF('Model inputs'!G61="","",'Model inputs'!G61=1))="",FALSE,IF(ISERROR('Model inputs'!G61=1),'Model inputs'!G61=1,IF('Model inputs'!G61="","",'Model inputs'!G61=1))),IF('Scenario comparison'!P7="","",'Scenario comparison'!P7),'Scenario comparison'!M9+'Scenario comparison'!P7)</f>
        <v>-72.5</v>
      </c>
      <c r="Q9" s="15">
        <f>IF(IF(IF(ISERROR('Monthly operating and hiring fo'!G9=1),'Monthly operating and hiring fo'!G9=1,IF('Monthly operating and hiring fo'!G9="","",'Monthly operating and hiring fo'!G9=1))="",FALSE,IF(ISERROR('Monthly operating and hiring fo'!G9=1),'Monthly operating and hiring fo'!G9=1,IF('Monthly operating and hiring fo'!G9="","",'Monthly operating and hiring fo'!G9=1))),IF('Scenario comparison'!Q7="","",'Scenario comparison'!Q7),'Scenario comparison'!N9+'Scenario comparison'!Q7)</f>
        <v>1786.5</v>
      </c>
      <c r="R9" s="15">
        <f>IF(IF(IF(ISERROR('Model inputs'!H60=1),'Model inputs'!H60=1,IF('Model inputs'!H60="","",'Model inputs'!H60=1))="",FALSE,IF(ISERROR('Model inputs'!H60=1),'Model inputs'!H60=1,IF('Model inputs'!H60="","",'Model inputs'!H60=1))),IF('Scenario comparison'!R7="","",'Scenario comparison'!R7),'Scenario comparison'!O9+'Scenario comparison'!R7)</f>
        <v>5282.5</v>
      </c>
      <c r="S9" s="15">
        <f>IF(IF(IF(ISERROR('Model inputs'!H61=1),'Model inputs'!H61=1,IF('Model inputs'!H61="","",'Model inputs'!H61=1))="",FALSE,IF(ISERROR('Model inputs'!H61=1),'Model inputs'!H61=1,IF('Model inputs'!H61="","",'Model inputs'!H61=1))),IF('Scenario comparison'!S7="","",'Scenario comparison'!S7),'Scenario comparison'!P9+'Scenario comparison'!S7)</f>
        <v>130.5</v>
      </c>
      <c r="T9" s="15">
        <f>IF(IF(IF(ISERROR('Monthly operating and hiring fo'!H9=1),'Monthly operating and hiring fo'!H9=1,IF('Monthly operating and hiring fo'!H9="","",'Monthly operating and hiring fo'!H9=1))="",FALSE,IF(ISERROR('Monthly operating and hiring fo'!H9=1),'Monthly operating and hiring fo'!H9=1,IF('Monthly operating and hiring fo'!H9="","",'Monthly operating and hiring fo'!H9=1))),IF('Scenario comparison'!T7="","",'Scenario comparison'!T7),'Scenario comparison'!Q9+'Scenario comparison'!T7)</f>
        <v>-906.5</v>
      </c>
      <c r="U9" s="15">
        <f>IF(IF(IF(ISERROR('Model inputs'!I60=1),'Model inputs'!I60=1,IF('Model inputs'!I60="","",'Model inputs'!I60=1))="",FALSE,IF(ISERROR('Model inputs'!I60=1),'Model inputs'!I60=1,IF('Model inputs'!I60="","",'Model inputs'!I60=1))),IF('Scenario comparison'!U7="","",'Scenario comparison'!U7),'Scenario comparison'!R9+'Scenario comparison'!U7)</f>
        <v>4245.5</v>
      </c>
      <c r="V9" s="15">
        <f>IF(IF(IF(ISERROR('Model inputs'!I61=1),'Model inputs'!I61=1,IF('Model inputs'!I61="","",'Model inputs'!I61=1))="",FALSE,IF(ISERROR('Model inputs'!I61=1),'Model inputs'!I61=1,IF('Model inputs'!I61="","",'Model inputs'!I61=1))),IF('Scenario comparison'!V7="","",'Scenario comparison'!V7),'Scenario comparison'!S9+'Scenario comparison'!V7)</f>
        <v>-3482.5</v>
      </c>
      <c r="W9" s="15">
        <f>IF(IF(IF(ISERROR('Monthly operating and hiring fo'!I9=1),'Monthly operating and hiring fo'!I9=1,IF('Monthly operating and hiring fo'!I9="","",'Monthly operating and hiring fo'!I9=1))="",FALSE,IF(ISERROR('Monthly operating and hiring fo'!I9=1),'Monthly operating and hiring fo'!I9=1,IF('Monthly operating and hiring fo'!I9="","",'Monthly operating and hiring fo'!I9=1))),IF('Scenario comparison'!W7="","",'Scenario comparison'!W7),'Scenario comparison'!T9+'Scenario comparison'!W7)</f>
        <v>-3047.5</v>
      </c>
      <c r="X9" s="15">
        <f>IF(IF(IF(ISERROR('Model inputs'!J60=1),'Model inputs'!J60=1,IF('Model inputs'!J60="","",'Model inputs'!J60=1))="",FALSE,IF(ISERROR('Model inputs'!J60=1),'Model inputs'!J60=1,IF('Model inputs'!J60="","",'Model inputs'!J60=1))),IF('Scenario comparison'!X7="","",'Scenario comparison'!X7),'Scenario comparison'!U9+'Scenario comparison'!X7)</f>
        <v>4312.5</v>
      </c>
      <c r="Y9" s="15">
        <f>IF(IF(IF(ISERROR('Model inputs'!J61=1),'Model inputs'!J61=1,IF('Model inputs'!J61="","",'Model inputs'!J61=1))="",FALSE,IF(ISERROR('Model inputs'!J61=1),'Model inputs'!J61=1,IF('Model inputs'!J61="","",'Model inputs'!J61=1))),IF('Scenario comparison'!Y7="","",'Scenario comparison'!Y7),'Scenario comparison'!V9+'Scenario comparison'!Y7)</f>
        <v>-6911.5</v>
      </c>
      <c r="Z9" s="15">
        <f>IF(IF(IF(ISERROR('Monthly operating and hiring fo'!J9=1),'Monthly operating and hiring fo'!J9=1,IF('Monthly operating and hiring fo'!J9="","",'Monthly operating and hiring fo'!J9=1))="",FALSE,IF(ISERROR('Monthly operating and hiring fo'!J9=1),'Monthly operating and hiring fo'!J9=1,IF('Monthly operating and hiring fo'!J9="","",'Monthly operating and hiring fo'!J9=1))),IF('Scenario comparison'!Z7="","",'Scenario comparison'!Z7),'Scenario comparison'!W9+'Scenario comparison'!Z7)</f>
        <v>-4452.5</v>
      </c>
      <c r="AA9" s="15">
        <f>IF(IF(IF(ISERROR('Model inputs'!K60=1),'Model inputs'!K60=1,IF('Model inputs'!K60="","",'Model inputs'!K60=1))="",FALSE,IF(ISERROR('Model inputs'!K60=1),'Model inputs'!K60=1,IF('Model inputs'!K60="","",'Model inputs'!K60=1))),IF('Scenario comparison'!AA7="","",'Scenario comparison'!AA7),'Scenario comparison'!X9+'Scenario comparison'!AA7)</f>
        <v>5667.5</v>
      </c>
      <c r="AB9" s="15">
        <f>IF(IF(IF(ISERROR('Model inputs'!K61=1),'Model inputs'!K61=1,IF('Model inputs'!K61="","",'Model inputs'!K61=1))="",FALSE,IF(ISERROR('Model inputs'!K61=1),'Model inputs'!K61=1,IF('Model inputs'!K61="","",'Model inputs'!K61=1))),IF('Scenario comparison'!AB7="","",'Scenario comparison'!AB7),'Scenario comparison'!Y9+'Scenario comparison'!AB7)</f>
        <v>-10156.5</v>
      </c>
      <c r="AC9" s="15">
        <f>IF(IF(IF(ISERROR('Monthly operating and hiring fo'!K9=1),'Monthly operating and hiring fo'!K9=1,IF('Monthly operating and hiring fo'!K9="","",'Monthly operating and hiring fo'!K9=1))="",FALSE,IF(ISERROR('Monthly operating and hiring fo'!K9=1),'Monthly operating and hiring fo'!K9=1,IF('Monthly operating and hiring fo'!K9="","",'Monthly operating and hiring fo'!K9=1))),IF('Scenario comparison'!AC7="","",'Scenario comparison'!AC7),'Scenario comparison'!Z9+'Scenario comparison'!AC7)</f>
        <v>-4937.5</v>
      </c>
      <c r="AD9" s="15">
        <f>IF(IF(IF(ISERROR('Model inputs'!L60=1),'Model inputs'!L60=1,IF('Model inputs'!L60="","",'Model inputs'!L60=1))="",FALSE,IF(ISERROR('Model inputs'!L60=1),'Model inputs'!L60=1,IF('Model inputs'!L60="","",'Model inputs'!L60=1))),IF('Scenario comparison'!AD7="","",'Scenario comparison'!AD7),'Scenario comparison'!AA9+'Scenario comparison'!AD7)</f>
        <v>8862.5</v>
      </c>
      <c r="AE9" s="15">
        <f>IF(IF(IF(ISERROR('Model inputs'!L61=1),'Model inputs'!L61=1,IF('Model inputs'!L61="","",'Model inputs'!L61=1))="",FALSE,IF(ISERROR('Model inputs'!L61=1),'Model inputs'!L61=1,IF('Model inputs'!L61="","",'Model inputs'!L61=1))),IF('Scenario comparison'!AE7="","",'Scenario comparison'!AE7),'Scenario comparison'!AB9+'Scenario comparison'!AE7)</f>
        <v>-13033.5</v>
      </c>
      <c r="AF9" s="15">
        <f>IF(IF(IF(ISERROR('Monthly operating and hiring fo'!L9=1),'Monthly operating and hiring fo'!L9=1,IF('Monthly operating and hiring fo'!L9="","",'Monthly operating and hiring fo'!L9=1))="",FALSE,IF(ISERROR('Monthly operating and hiring fo'!L9=1),'Monthly operating and hiring fo'!L9=1,IF('Monthly operating and hiring fo'!L9="","",'Monthly operating and hiring fo'!L9=1))),IF('Scenario comparison'!AF7="","",'Scenario comparison'!AF7),'Scenario comparison'!AC9+'Scenario comparison'!AF7)</f>
        <v>-4502.5</v>
      </c>
      <c r="AG9" s="15">
        <f>IF(IF(IF(ISERROR('Model inputs'!M60=1),'Model inputs'!M60=1,IF('Model inputs'!M60="","",'Model inputs'!M60=1))="",FALSE,IF(ISERROR('Model inputs'!M60=1),'Model inputs'!M60=1,IF('Model inputs'!M60="","",'Model inputs'!M60=1))),IF('Scenario comparison'!AG7="","",'Scenario comparison'!AG7),'Scenario comparison'!AD9+'Scenario comparison'!AG7)</f>
        <v>13897.5</v>
      </c>
      <c r="AH9" s="15">
        <f>IF(IF(IF(ISERROR('Model inputs'!M61=1),'Model inputs'!M61=1,IF('Model inputs'!M61="","",'Model inputs'!M61=1))="",FALSE,IF(ISERROR('Model inputs'!M61=1),'Model inputs'!M61=1,IF('Model inputs'!M61="","",'Model inputs'!M61=1))),IF('Scenario comparison'!AH7="","",'Scenario comparison'!AH7),'Scenario comparison'!AE9+'Scenario comparison'!AH7)</f>
        <v>-15542.5</v>
      </c>
      <c r="AI9" s="15">
        <f>IF(IF(IF(ISERROR('Monthly operating and hiring fo'!M9=1),'Monthly operating and hiring fo'!M9=1,IF('Monthly operating and hiring fo'!M9="","",'Monthly operating and hiring fo'!M9=1))="",FALSE,IF(ISERROR('Monthly operating and hiring fo'!M9=1),'Monthly operating and hiring fo'!M9=1,IF('Monthly operating and hiring fo'!M9="","",'Monthly operating and hiring fo'!M9=1))),IF('Scenario comparison'!AI7="","",'Scenario comparison'!AI7),'Scenario comparison'!AF9+'Scenario comparison'!AI7)</f>
        <v>-3147.5</v>
      </c>
      <c r="AJ9" s="15">
        <f>IF(IF(IF(ISERROR('Model inputs'!N60=1),'Model inputs'!N60=1,IF('Model inputs'!N60="","",'Model inputs'!N60=1))="",FALSE,IF(ISERROR('Model inputs'!N60=1),'Model inputs'!N60=1,IF('Model inputs'!N60="","",'Model inputs'!N60=1))),IF('Scenario comparison'!AJ7="","",'Scenario comparison'!AJ7),'Scenario comparison'!AG9+'Scenario comparison'!AJ7)</f>
        <v>14772.5</v>
      </c>
      <c r="AK9" s="15">
        <f>IF(IF(IF(ISERROR('Model inputs'!N61=1),'Model inputs'!N61=1,IF('Model inputs'!N61="","",'Model inputs'!N61=1))="",FALSE,IF(ISERROR('Model inputs'!N61=1),'Model inputs'!N61=1,IF('Model inputs'!N61="","",'Model inputs'!N61=1))),IF('Scenario comparison'!AK7="","",'Scenario comparison'!AK7),'Scenario comparison'!AH9+'Scenario comparison'!AK7)</f>
        <v>-17499.5</v>
      </c>
    </row>
    <row r="10">
      <c r="A10" t="inlineStr" s="5">
        <is>
          <t xml:space="preserve">Minimum funding to date</t>
        </is>
      </c>
      <c r="B10" s="16">
        <f>IF(IF(IF(ISERROR('Monthly operating and hiring fo'!B9=1),'Monthly operating and hiring fo'!B9=1,IF('Monthly operating and hiring fo'!B9="","",'Monthly operating and hiring fo'!B9=1))="",FALSE,IF(ISERROR('Monthly operating and hiring fo'!B9=1),'Monthly operating and hiring fo'!B9=1,IF('Monthly operating and hiring fo'!B9="","",'Monthly operating and hiring fo'!B9=1))),MAX(0,-'Scenario comparison'!B9),MAX(0,-'Scenario comparison'!B9,'Model inputs'!B44))</f>
        <v>154.5</v>
      </c>
      <c r="C10" s="16">
        <f>IF(IF(IF(ISERROR('Model inputs'!C60=1),'Model inputs'!C60=1,IF('Model inputs'!C60="","",'Model inputs'!C60=1))="",FALSE,IF(ISERROR('Model inputs'!C60=1),'Model inputs'!C60=1,IF('Model inputs'!C60="","",'Model inputs'!C60=1))),MAX(0,-'Scenario comparison'!C9),MAX(0,-'Scenario comparison'!C9,'Model inputs'!B45))</f>
        <v>0</v>
      </c>
      <c r="D10" s="16">
        <f>IF(IF(IF(ISERROR('Model inputs'!C61=1),'Model inputs'!C61=1,IF('Model inputs'!C61="","",'Model inputs'!C61=1))="",FALSE,IF(ISERROR('Model inputs'!C61=1),'Model inputs'!C61=1,IF('Model inputs'!C61="","",'Model inputs'!C61=1))),MAX(0,-'Scenario comparison'!D9),MAX(0,-'Scenario comparison'!D9,'Model inputs'!B46))</f>
        <v>154.5</v>
      </c>
      <c r="E10" s="16">
        <f>IF(IF(IF(ISERROR('Monthly operating and hiring fo'!C9=1),'Monthly operating and hiring fo'!C9=1,IF('Monthly operating and hiring fo'!C9="","",'Monthly operating and hiring fo'!C9=1))="",FALSE,IF(ISERROR('Monthly operating and hiring fo'!C9=1),'Monthly operating and hiring fo'!C9=1,IF('Monthly operating and hiring fo'!C9="","",'Monthly operating and hiring fo'!C9=1))),MAX(0,-'Scenario comparison'!E9),MAX(0,-'Scenario comparison'!E9,'Scenario comparison'!B10))</f>
        <v>154.5</v>
      </c>
      <c r="F10" s="16">
        <f>IF(IF(IF(ISERROR('Model inputs'!D60=1),'Model inputs'!D60=1,IF('Model inputs'!D60="","",'Model inputs'!D60=1))="",FALSE,IF(ISERROR('Model inputs'!D60=1),'Model inputs'!D60=1,IF('Model inputs'!D60="","",'Model inputs'!D60=1))),MAX(0,-'Scenario comparison'!F9),MAX(0,-'Scenario comparison'!F9,'Scenario comparison'!C10))</f>
        <v>0</v>
      </c>
      <c r="G10" s="16">
        <f>IF(IF(IF(ISERROR('Model inputs'!D61=1),'Model inputs'!D61=1,IF('Model inputs'!D61="","",'Model inputs'!D61=1))="",FALSE,IF(ISERROR('Model inputs'!D61=1),'Model inputs'!D61=1,IF('Model inputs'!D61="","",'Model inputs'!D61=1))),MAX(0,-'Scenario comparison'!G9),MAX(0,-'Scenario comparison'!G9,'Scenario comparison'!D10))</f>
        <v>313.5</v>
      </c>
      <c r="H10" s="16">
        <f>IF(IF(IF(ISERROR('Monthly operating and hiring fo'!D9=1),'Monthly operating and hiring fo'!D9=1,IF('Monthly operating and hiring fo'!D9="","",'Monthly operating and hiring fo'!D9=1))="",FALSE,IF(ISERROR('Monthly operating and hiring fo'!D9=1),'Monthly operating and hiring fo'!D9=1,IF('Monthly operating and hiring fo'!D9="","",'Monthly operating and hiring fo'!D9=1))),MAX(0,-'Scenario comparison'!H9),MAX(0,-'Scenario comparison'!H9,'Scenario comparison'!E10))</f>
        <v>154.5</v>
      </c>
      <c r="I10" s="16">
        <f>IF(IF(IF(ISERROR('Model inputs'!E60=1),'Model inputs'!E60=1,IF('Model inputs'!E60="","",'Model inputs'!E60=1))="",FALSE,IF(ISERROR('Model inputs'!E60=1),'Model inputs'!E60=1,IF('Model inputs'!E60="","",'Model inputs'!E60=1))),MAX(0,-'Scenario comparison'!I9),MAX(0,-'Scenario comparison'!I9,'Scenario comparison'!F10))</f>
        <v>0</v>
      </c>
      <c r="J10" s="16">
        <f>IF(IF(IF(ISERROR('Model inputs'!E61=1),'Model inputs'!E61=1,IF('Model inputs'!E61="","",'Model inputs'!E61=1))="",FALSE,IF(ISERROR('Model inputs'!E61=1),'Model inputs'!E61=1,IF('Model inputs'!E61="","",'Model inputs'!E61=1))),MAX(0,-'Scenario comparison'!J9),MAX(0,-'Scenario comparison'!J9,'Scenario comparison'!G10))</f>
        <v>313.5</v>
      </c>
      <c r="K10" s="16">
        <f>IF(IF(IF(ISERROR('Monthly operating and hiring fo'!E9=1),'Monthly operating and hiring fo'!E9=1,IF('Monthly operating and hiring fo'!E9="","",'Monthly operating and hiring fo'!E9=1))="",FALSE,IF(ISERROR('Monthly operating and hiring fo'!E9=1),'Monthly operating and hiring fo'!E9=1,IF('Monthly operating and hiring fo'!E9="","",'Monthly operating and hiring fo'!E9=1))),MAX(0,-'Scenario comparison'!K9),MAX(0,-'Scenario comparison'!K9,'Scenario comparison'!H10))</f>
        <v>154.5</v>
      </c>
      <c r="L10" s="16">
        <f>IF(IF(IF(ISERROR('Model inputs'!F60=1),'Model inputs'!F60=1,IF('Model inputs'!F60="","",'Model inputs'!F60=1))="",FALSE,IF(ISERROR('Model inputs'!F60=1),'Model inputs'!F60=1,IF('Model inputs'!F60="","",'Model inputs'!F60=1))),MAX(0,-'Scenario comparison'!L9),MAX(0,-'Scenario comparison'!L9,'Scenario comparison'!I10))</f>
        <v>0</v>
      </c>
      <c r="M10" s="16">
        <f>IF(IF(IF(ISERROR('Model inputs'!F61=1),'Model inputs'!F61=1,IF('Model inputs'!F61="","",'Model inputs'!F61=1))="",FALSE,IF(ISERROR('Model inputs'!F61=1),'Model inputs'!F61=1,IF('Model inputs'!F61="","",'Model inputs'!F61=1))),MAX(0,-'Scenario comparison'!M9),MAX(0,-'Scenario comparison'!M9,'Scenario comparison'!J10))</f>
        <v>313.5</v>
      </c>
      <c r="N10" s="16">
        <f>IF(IF(IF(ISERROR('Monthly operating and hiring fo'!F9=1),'Monthly operating and hiring fo'!F9=1,IF('Monthly operating and hiring fo'!F9="","",'Monthly operating and hiring fo'!F9=1))="",FALSE,IF(ISERROR('Monthly operating and hiring fo'!F9=1),'Monthly operating and hiring fo'!F9=1,IF('Monthly operating and hiring fo'!F9="","",'Monthly operating and hiring fo'!F9=1))),MAX(0,-'Scenario comparison'!N9),MAX(0,-'Scenario comparison'!N9,'Scenario comparison'!K10))</f>
        <v>154.5</v>
      </c>
      <c r="O10" s="16">
        <f>IF(IF(IF(ISERROR('Model inputs'!G60=1),'Model inputs'!G60=1,IF('Model inputs'!G60="","",'Model inputs'!G60=1))="",FALSE,IF(ISERROR('Model inputs'!G60=1),'Model inputs'!G60=1,IF('Model inputs'!G60="","",'Model inputs'!G60=1))),MAX(0,-'Scenario comparison'!O9),MAX(0,-'Scenario comparison'!O9,'Scenario comparison'!L10))</f>
        <v>0</v>
      </c>
      <c r="P10" s="16">
        <f>IF(IF(IF(ISERROR('Model inputs'!G61=1),'Model inputs'!G61=1,IF('Model inputs'!G61="","",'Model inputs'!G61=1))="",FALSE,IF(ISERROR('Model inputs'!G61=1),'Model inputs'!G61=1,IF('Model inputs'!G61="","",'Model inputs'!G61=1))),MAX(0,-'Scenario comparison'!P9),MAX(0,-'Scenario comparison'!P9,'Scenario comparison'!M10))</f>
        <v>313.5</v>
      </c>
      <c r="Q10" s="16">
        <f>IF(IF(IF(ISERROR('Monthly operating and hiring fo'!G9=1),'Monthly operating and hiring fo'!G9=1,IF('Monthly operating and hiring fo'!G9="","",'Monthly operating and hiring fo'!G9=1))="",FALSE,IF(ISERROR('Monthly operating and hiring fo'!G9=1),'Monthly operating and hiring fo'!G9=1,IF('Monthly operating and hiring fo'!G9="","",'Monthly operating and hiring fo'!G9=1))),MAX(0,-'Scenario comparison'!Q9),MAX(0,-'Scenario comparison'!Q9,'Scenario comparison'!N10))</f>
        <v>154.5</v>
      </c>
      <c r="R10" s="16">
        <f>IF(IF(IF(ISERROR('Model inputs'!H60=1),'Model inputs'!H60=1,IF('Model inputs'!H60="","",'Model inputs'!H60=1))="",FALSE,IF(ISERROR('Model inputs'!H60=1),'Model inputs'!H60=1,IF('Model inputs'!H60="","",'Model inputs'!H60=1))),MAX(0,-'Scenario comparison'!R9),MAX(0,-'Scenario comparison'!R9,'Scenario comparison'!O10))</f>
        <v>0</v>
      </c>
      <c r="S10" s="16">
        <f>IF(IF(IF(ISERROR('Model inputs'!H61=1),'Model inputs'!H61=1,IF('Model inputs'!H61="","",'Model inputs'!H61=1))="",FALSE,IF(ISERROR('Model inputs'!H61=1),'Model inputs'!H61=1,IF('Model inputs'!H61="","",'Model inputs'!H61=1))),MAX(0,-'Scenario comparison'!S9),MAX(0,-'Scenario comparison'!S9,'Scenario comparison'!P10))</f>
        <v>313.5</v>
      </c>
      <c r="T10" s="16">
        <f>IF(IF(IF(ISERROR('Monthly operating and hiring fo'!H9=1),'Monthly operating and hiring fo'!H9=1,IF('Monthly operating and hiring fo'!H9="","",'Monthly operating and hiring fo'!H9=1))="",FALSE,IF(ISERROR('Monthly operating and hiring fo'!H9=1),'Monthly operating and hiring fo'!H9=1,IF('Monthly operating and hiring fo'!H9="","",'Monthly operating and hiring fo'!H9=1))),MAX(0,-'Scenario comparison'!T9),MAX(0,-'Scenario comparison'!T9,'Scenario comparison'!Q10))</f>
        <v>906.5</v>
      </c>
      <c r="U10" s="16">
        <f>IF(IF(IF(ISERROR('Model inputs'!I60=1),'Model inputs'!I60=1,IF('Model inputs'!I60="","",'Model inputs'!I60=1))="",FALSE,IF(ISERROR('Model inputs'!I60=1),'Model inputs'!I60=1,IF('Model inputs'!I60="","",'Model inputs'!I60=1))),MAX(0,-'Scenario comparison'!U9),MAX(0,-'Scenario comparison'!U9,'Scenario comparison'!R10))</f>
        <v>0</v>
      </c>
      <c r="V10" s="16">
        <f>IF(IF(IF(ISERROR('Model inputs'!I61=1),'Model inputs'!I61=1,IF('Model inputs'!I61="","",'Model inputs'!I61=1))="",FALSE,IF(ISERROR('Model inputs'!I61=1),'Model inputs'!I61=1,IF('Model inputs'!I61="","",'Model inputs'!I61=1))),MAX(0,-'Scenario comparison'!V9),MAX(0,-'Scenario comparison'!V9,'Scenario comparison'!S10))</f>
        <v>3482.5</v>
      </c>
      <c r="W10" s="16">
        <f>IF(IF(IF(ISERROR('Monthly operating and hiring fo'!I9=1),'Monthly operating and hiring fo'!I9=1,IF('Monthly operating and hiring fo'!I9="","",'Monthly operating and hiring fo'!I9=1))="",FALSE,IF(ISERROR('Monthly operating and hiring fo'!I9=1),'Monthly operating and hiring fo'!I9=1,IF('Monthly operating and hiring fo'!I9="","",'Monthly operating and hiring fo'!I9=1))),MAX(0,-'Scenario comparison'!W9),MAX(0,-'Scenario comparison'!W9,'Scenario comparison'!T10))</f>
        <v>3047.5</v>
      </c>
      <c r="X10" s="16">
        <f>IF(IF(IF(ISERROR('Model inputs'!J60=1),'Model inputs'!J60=1,IF('Model inputs'!J60="","",'Model inputs'!J60=1))="",FALSE,IF(ISERROR('Model inputs'!J60=1),'Model inputs'!J60=1,IF('Model inputs'!J60="","",'Model inputs'!J60=1))),MAX(0,-'Scenario comparison'!X9),MAX(0,-'Scenario comparison'!X9,'Scenario comparison'!U10))</f>
        <v>0</v>
      </c>
      <c r="Y10" s="16">
        <f>IF(IF(IF(ISERROR('Model inputs'!J61=1),'Model inputs'!J61=1,IF('Model inputs'!J61="","",'Model inputs'!J61=1))="",FALSE,IF(ISERROR('Model inputs'!J61=1),'Model inputs'!J61=1,IF('Model inputs'!J61="","",'Model inputs'!J61=1))),MAX(0,-'Scenario comparison'!Y9),MAX(0,-'Scenario comparison'!Y9,'Scenario comparison'!V10))</f>
        <v>6911.5</v>
      </c>
      <c r="Z10" s="16">
        <f>IF(IF(IF(ISERROR('Monthly operating and hiring fo'!J9=1),'Monthly operating and hiring fo'!J9=1,IF('Monthly operating and hiring fo'!J9="","",'Monthly operating and hiring fo'!J9=1))="",FALSE,IF(ISERROR('Monthly operating and hiring fo'!J9=1),'Monthly operating and hiring fo'!J9=1,IF('Monthly operating and hiring fo'!J9="","",'Monthly operating and hiring fo'!J9=1))),MAX(0,-'Scenario comparison'!Z9),MAX(0,-'Scenario comparison'!Z9,'Scenario comparison'!W10))</f>
        <v>4452.5</v>
      </c>
      <c r="AA10" s="16">
        <f>IF(IF(IF(ISERROR('Model inputs'!K60=1),'Model inputs'!K60=1,IF('Model inputs'!K60="","",'Model inputs'!K60=1))="",FALSE,IF(ISERROR('Model inputs'!K60=1),'Model inputs'!K60=1,IF('Model inputs'!K60="","",'Model inputs'!K60=1))),MAX(0,-'Scenario comparison'!AA9),MAX(0,-'Scenario comparison'!AA9,'Scenario comparison'!X10))</f>
        <v>0</v>
      </c>
      <c r="AB10" s="16">
        <f>IF(IF(IF(ISERROR('Model inputs'!K61=1),'Model inputs'!K61=1,IF('Model inputs'!K61="","",'Model inputs'!K61=1))="",FALSE,IF(ISERROR('Model inputs'!K61=1),'Model inputs'!K61=1,IF('Model inputs'!K61="","",'Model inputs'!K61=1))),MAX(0,-'Scenario comparison'!AB9),MAX(0,-'Scenario comparison'!AB9,'Scenario comparison'!Y10))</f>
        <v>10156.5</v>
      </c>
      <c r="AC10" s="16">
        <f>IF(IF(IF(ISERROR('Monthly operating and hiring fo'!K9=1),'Monthly operating and hiring fo'!K9=1,IF('Monthly operating and hiring fo'!K9="","",'Monthly operating and hiring fo'!K9=1))="",FALSE,IF(ISERROR('Monthly operating and hiring fo'!K9=1),'Monthly operating and hiring fo'!K9=1,IF('Monthly operating and hiring fo'!K9="","",'Monthly operating and hiring fo'!K9=1))),MAX(0,-'Scenario comparison'!AC9),MAX(0,-'Scenario comparison'!AC9,'Scenario comparison'!Z10))</f>
        <v>4937.5</v>
      </c>
      <c r="AD10" s="16">
        <f>IF(IF(IF(ISERROR('Model inputs'!L60=1),'Model inputs'!L60=1,IF('Model inputs'!L60="","",'Model inputs'!L60=1))="",FALSE,IF(ISERROR('Model inputs'!L60=1),'Model inputs'!L60=1,IF('Model inputs'!L60="","",'Model inputs'!L60=1))),MAX(0,-'Scenario comparison'!AD9),MAX(0,-'Scenario comparison'!AD9,'Scenario comparison'!AA10))</f>
        <v>0</v>
      </c>
      <c r="AE10" s="16">
        <f>IF(IF(IF(ISERROR('Model inputs'!L61=1),'Model inputs'!L61=1,IF('Model inputs'!L61="","",'Model inputs'!L61=1))="",FALSE,IF(ISERROR('Model inputs'!L61=1),'Model inputs'!L61=1,IF('Model inputs'!L61="","",'Model inputs'!L61=1))),MAX(0,-'Scenario comparison'!AE9),MAX(0,-'Scenario comparison'!AE9,'Scenario comparison'!AB10))</f>
        <v>13033.5</v>
      </c>
      <c r="AF10" s="16">
        <f>IF(IF(IF(ISERROR('Monthly operating and hiring fo'!L9=1),'Monthly operating and hiring fo'!L9=1,IF('Monthly operating and hiring fo'!L9="","",'Monthly operating and hiring fo'!L9=1))="",FALSE,IF(ISERROR('Monthly operating and hiring fo'!L9=1),'Monthly operating and hiring fo'!L9=1,IF('Monthly operating and hiring fo'!L9="","",'Monthly operating and hiring fo'!L9=1))),MAX(0,-'Scenario comparison'!AF9),MAX(0,-'Scenario comparison'!AF9,'Scenario comparison'!AC10))</f>
        <v>4937.5</v>
      </c>
      <c r="AG10" s="16">
        <f>IF(IF(IF(ISERROR('Model inputs'!M60=1),'Model inputs'!M60=1,IF('Model inputs'!M60="","",'Model inputs'!M60=1))="",FALSE,IF(ISERROR('Model inputs'!M60=1),'Model inputs'!M60=1,IF('Model inputs'!M60="","",'Model inputs'!M60=1))),MAX(0,-'Scenario comparison'!AG9),MAX(0,-'Scenario comparison'!AG9,'Scenario comparison'!AD10))</f>
        <v>0</v>
      </c>
      <c r="AH10" s="16">
        <f>IF(IF(IF(ISERROR('Model inputs'!M61=1),'Model inputs'!M61=1,IF('Model inputs'!M61="","",'Model inputs'!M61=1))="",FALSE,IF(ISERROR('Model inputs'!M61=1),'Model inputs'!M61=1,IF('Model inputs'!M61="","",'Model inputs'!M61=1))),MAX(0,-'Scenario comparison'!AH9),MAX(0,-'Scenario comparison'!AH9,'Scenario comparison'!AE10))</f>
        <v>15542.5</v>
      </c>
      <c r="AI10" s="16">
        <f>IF(IF(IF(ISERROR('Monthly operating and hiring fo'!M9=1),'Monthly operating and hiring fo'!M9=1,IF('Monthly operating and hiring fo'!M9="","",'Monthly operating and hiring fo'!M9=1))="",FALSE,IF(ISERROR('Monthly operating and hiring fo'!M9=1),'Monthly operating and hiring fo'!M9=1,IF('Monthly operating and hiring fo'!M9="","",'Monthly operating and hiring fo'!M9=1))),MAX(0,-'Scenario comparison'!AI9),MAX(0,-'Scenario comparison'!AI9,'Scenario comparison'!AF10))</f>
        <v>4937.5</v>
      </c>
      <c r="AJ10" s="16">
        <f>IF(IF(IF(ISERROR('Model inputs'!N60=1),'Model inputs'!N60=1,IF('Model inputs'!N60="","",'Model inputs'!N60=1))="",FALSE,IF(ISERROR('Model inputs'!N60=1),'Model inputs'!N60=1,IF('Model inputs'!N60="","",'Model inputs'!N60=1))),MAX(0,-'Scenario comparison'!AJ9),MAX(0,-'Scenario comparison'!AJ9,'Scenario comparison'!AG10))</f>
        <v>0</v>
      </c>
      <c r="AK10" s="16">
        <f>IF(IF(IF(ISERROR('Model inputs'!N61=1),'Model inputs'!N61=1,IF('Model inputs'!N61="","",'Model inputs'!N61=1))="",FALSE,IF(ISERROR('Model inputs'!N61=1),'Model inputs'!N61=1,IF('Model inputs'!N61="","",'Model inputs'!N61=1))),MAX(0,-'Scenario comparison'!AK9),MAX(0,-'Scenario comparison'!AK9,'Scenario comparison'!AH10))</f>
        <v>17499.5</v>
      </c>
    </row>
  </sheetData>
  <mergeCells count="1">
    <mergeCell ref="A1:AK1"/>
  </mergeCells>
</worksheet>
</file>

<file path=xl/worksheets/sheet4.xml><?xml version="1.0" encoding="utf-8"?>
<worksheet xmlns="http://schemas.openxmlformats.org/spreadsheetml/2006/main">
  <dimension ref="A1:M9"/>
  <sheetViews>
    <sheetView showGridLines="0" workbookViewId="0">
      <pane xSplit="1" ySplit="4" topLeftCell="B5" activePane="bottomRight" state="frozen"/>
      <selection pane="bottomRight" activeCell="B5" sqref="B5"/>
    </sheetView>
  </sheetViews>
  <sheetFormatPr defaultRowHeight="18"/>
  <cols>
    <col min="1" max="1" width="40" customWidth="1"/>
    <col min="2" max="2" width="19" customWidth="1"/>
    <col min="3" max="3" width="19" customWidth="1"/>
    <col min="4" max="4" width="19" customWidth="1"/>
    <col min="5" max="5" width="19" customWidth="1"/>
    <col min="6" max="6" width="19" customWidth="1"/>
    <col min="7" max="7" width="19" customWidth="1"/>
    <col min="8" max="8" width="19" customWidth="1"/>
    <col min="9" max="9" width="19" customWidth="1"/>
    <col min="10" max="10" width="19" customWidth="1"/>
    <col min="11" max="11" width="19" customWidth="1"/>
    <col min="12" max="12" width="19" customWidth="1"/>
    <col min="13" max="13" width="19" customWidth="1"/>
  </cols>
  <sheetData>
    <row r="1" ht="32" customHeight="1">
      <c r="A1" t="inlineStr" s="1">
        <is>
          <t xml:space="preserve">Pricing and early-hire stress tests</t>
        </is>
      </c>
    </row>
    <row r="2" ht="20" customHeight="1">
      <c r="A2" t="inlineStr" s="2">
        <is>
          <t xml:space="preserve">Wincheck | 12-month plan · Main Scenario</t>
        </is>
      </c>
    </row>
    <row r="4" ht="22" customHeight="1">
      <c r="A4" t="inlineStr" s="3">
        <is>
          <t xml:space="preserve">Variable / dimension</t>
        </is>
      </c>
      <c r="B4" t="inlineStr" s="11">
        <is>
          <t xml:space="preserve">2026-10</t>
        </is>
      </c>
      <c r="C4" t="inlineStr" s="4">
        <is>
          <t xml:space="preserve">2026-11</t>
        </is>
      </c>
      <c r="D4" t="inlineStr" s="4">
        <is>
          <t xml:space="preserve">2026-12</t>
        </is>
      </c>
      <c r="E4" t="inlineStr" s="11">
        <is>
          <t xml:space="preserve">2027-01</t>
        </is>
      </c>
      <c r="F4" t="inlineStr" s="4">
        <is>
          <t xml:space="preserve">2027-02</t>
        </is>
      </c>
      <c r="G4" t="inlineStr" s="4">
        <is>
          <t xml:space="preserve">2027-03</t>
        </is>
      </c>
      <c r="H4" t="inlineStr" s="11">
        <is>
          <t xml:space="preserve">2027-04</t>
        </is>
      </c>
      <c r="I4" t="inlineStr" s="4">
        <is>
          <t xml:space="preserve">2027-05</t>
        </is>
      </c>
      <c r="J4" t="inlineStr" s="4">
        <is>
          <t xml:space="preserve">2027-06</t>
        </is>
      </c>
      <c r="K4" t="inlineStr" s="11">
        <is>
          <t xml:space="preserve">2027-07</t>
        </is>
      </c>
      <c r="L4" t="inlineStr" s="4">
        <is>
          <t xml:space="preserve">2027-08</t>
        </is>
      </c>
      <c r="M4" t="inlineStr" s="4">
        <is>
          <t xml:space="preserve">2027-09</t>
        </is>
      </c>
    </row>
    <row r="5">
      <c r="A5" t="inlineStr" s="5">
        <is>
          <t xml:space="preserve">Gross profit after hosting</t>
        </is>
      </c>
      <c r="B5" s="17">
        <f>'Monthly operating and hiring fo'!B18-'Pricing and operating assumptio'!B11</f>
        <v>-50</v>
      </c>
      <c r="C5" s="17">
        <f>'Monthly operating and hiring fo'!C18-'Pricing and operating assumptio'!B11</f>
        <v>134</v>
      </c>
      <c r="D5" s="17">
        <f>'Monthly operating and hiring fo'!D18-'Pricing and operating assumptio'!B11</f>
        <v>318</v>
      </c>
      <c r="E5" s="17">
        <f>'Monthly operating and hiring fo'!E18-'Pricing and operating assumptio'!B11</f>
        <v>502</v>
      </c>
      <c r="F5" s="17">
        <f>'Monthly operating and hiring fo'!F18-'Pricing and operating assumptio'!B11</f>
        <v>686</v>
      </c>
      <c r="G5" s="17">
        <f>'Monthly operating and hiring fo'!G18-'Pricing and operating assumptio'!B11</f>
        <v>870</v>
      </c>
      <c r="H5" s="17">
        <f>'Monthly operating and hiring fo'!H18-'Pricing and operating assumptio'!B11</f>
        <v>1422</v>
      </c>
      <c r="I5" s="17">
        <f>'Monthly operating and hiring fo'!I18-'Pricing and operating assumptio'!B11</f>
        <v>1974</v>
      </c>
      <c r="J5" s="17">
        <f>'Monthly operating and hiring fo'!J18-'Pricing and operating assumptio'!B11</f>
        <v>2710</v>
      </c>
      <c r="K5" s="17">
        <f>'Monthly operating and hiring fo'!K18-'Pricing and operating assumptio'!B11</f>
        <v>3630</v>
      </c>
      <c r="L5" s="17">
        <f>'Monthly operating and hiring fo'!L18-'Pricing and operating assumptio'!B11</f>
        <v>4550</v>
      </c>
      <c r="M5" s="17">
        <f>'Monthly operating and hiring fo'!M18-'Pricing and operating assumptio'!B11</f>
        <v>5470</v>
      </c>
    </row>
    <row r="6">
      <c r="A6" t="inlineStr" s="7">
        <is>
          <t xml:space="preserve">Gross margin after hosting</t>
        </is>
      </c>
      <c r="B6" t="str" s="13">
        <f>IFERROR('Pricing and early-hire stress t'!B5/'Monthly operating and hiring fo'!B16,"")</f>
        <v/>
      </c>
      <c r="C6" s="13">
        <f>IFERROR('Pricing and early-hire stress t'!C5/'Monthly operating and hiring fo'!C16,"")</f>
        <v>0.6733668341708543</v>
      </c>
      <c r="D6" s="13">
        <f>IFERROR('Pricing and early-hire stress t'!D5/'Monthly operating and hiring fo'!D16,"")</f>
        <v>0.7989949748743719</v>
      </c>
      <c r="E6" s="13">
        <f>IFERROR('Pricing and early-hire stress t'!E5/'Monthly operating and hiring fo'!E16,"")</f>
        <v>0.8408710217755444</v>
      </c>
      <c r="F6" s="13">
        <f>IFERROR('Pricing and early-hire stress t'!F5/'Monthly operating and hiring fo'!F16,"")</f>
        <v>0.8618090452261307</v>
      </c>
      <c r="G6" s="13">
        <f>IFERROR('Pricing and early-hire stress t'!G5/'Monthly operating and hiring fo'!G16,"")</f>
        <v>0.8743718592964824</v>
      </c>
      <c r="H6" s="13">
        <f>IFERROR('Pricing and early-hire stress t'!H5/'Monthly operating and hiring fo'!H16,"")</f>
        <v>0.8932160804020101</v>
      </c>
      <c r="I6" s="13">
        <f>IFERROR('Pricing and early-hire stress t'!I5/'Monthly operating and hiring fo'!I16,"")</f>
        <v>0.9017816354499771</v>
      </c>
      <c r="J6" s="13">
        <f>IFERROR('Pricing and early-hire stress t'!J5/'Monthly operating and hiring fo'!J16,"")</f>
        <v>0.9078726968174204</v>
      </c>
      <c r="K6" s="13">
        <f>IFERROR('Pricing and early-hire stress t'!K5/'Monthly operating and hiring fo'!K16,"")</f>
        <v>0.9120603015075377</v>
      </c>
      <c r="L6" s="13">
        <f>IFERROR('Pricing and early-hire stress t'!L5/'Monthly operating and hiring fo'!L16,"")</f>
        <v>0.914572864321608</v>
      </c>
      <c r="M6" s="13">
        <f>IFERROR('Pricing and early-hire stress t'!M5/'Monthly operating and hiring fo'!M16,"")</f>
        <v>0.916247906197655</v>
      </c>
    </row>
    <row r="7">
      <c r="A7" t="inlineStr" s="7">
        <is>
          <t xml:space="preserve">Cash flow if hired at earliest month</t>
        </is>
      </c>
      <c r="B7" s="12">
        <f>'Monthly operating and hiring fo'!B23-IF(IF(IF(IF(ISERROR('Monthly operating and hiring fo'!B9&gt;='Pricing and operating assumptio'!B16),'Monthly operating and hiring fo'!B9&gt;='Pricing and operating assumptio'!B16,IF(OR('Monthly operating and hiring fo'!B9="",'Pricing and operating assumptio'!B16=""),"",'Monthly operating and hiring fo'!B9&gt;='Pricing and operating assumptio'!B16))="",FALSE,IF(ISERROR('Monthly operating and hiring fo'!B9&gt;='Pricing and operating assumptio'!B16),'Monthly operating and hiring fo'!B9&gt;='Pricing and operating assumptio'!B16,IF(OR('Monthly operating and hiring fo'!B9="",'Pricing and operating assumptio'!B16=""),"",'Monthly operating and hiring fo'!B9&gt;='Pricing and operating assumptio'!B16))),IF('Pricing and operating assumptio'!B15="","",'Pricing and operating assumptio'!B15),0)="",0,IF(IF(IF(ISERROR('Monthly operating and hiring fo'!B9&gt;='Pricing and operating assumptio'!B16),'Monthly operating and hiring fo'!B9&gt;='Pricing and operating assumptio'!B16,IF(OR('Monthly operating and hiring fo'!B9="",'Pricing and operating assumptio'!B16=""),"",'Monthly operating and hiring fo'!B9&gt;='Pricing and operating assumptio'!B16))="",FALSE,IF(ISERROR('Monthly operating and hiring fo'!B9&gt;='Pricing and operating assumptio'!B16),'Monthly operating and hiring fo'!B9&gt;='Pricing and operating assumptio'!B16,IF(OR('Monthly operating and hiring fo'!B9="",'Pricing and operating assumptio'!B16=""),"",'Monthly operating and hiring fo'!B9&gt;='Pricing and operating assumptio'!B16))),IF('Pricing and operating assumptio'!B15="","",'Pricing and operating assumptio'!B15),0))</f>
        <v>-154.5</v>
      </c>
      <c r="C7" s="12">
        <f>'Monthly operating and hiring fo'!C23-IF(IF(IF(IF(ISERROR('Monthly operating and hiring fo'!C9&gt;='Pricing and operating assumptio'!B16),'Monthly operating and hiring fo'!C9&gt;='Pricing and operating assumptio'!B16,IF(OR('Monthly operating and hiring fo'!C9="",'Pricing and operating assumptio'!B16=""),"",'Monthly operating and hiring fo'!C9&gt;='Pricing and operating assumptio'!B16))="",FALSE,IF(ISERROR('Monthly operating and hiring fo'!C9&gt;='Pricing and operating assumptio'!B16),'Monthly operating and hiring fo'!C9&gt;='Pricing and operating assumptio'!B16,IF(OR('Monthly operating and hiring fo'!C9="",'Pricing and operating assumptio'!B16=""),"",'Monthly operating and hiring fo'!C9&gt;='Pricing and operating assumptio'!B16))),IF('Pricing and operating assumptio'!B15="","",'Pricing and operating assumptio'!B15),0)="",0,IF(IF(IF(ISERROR('Monthly operating and hiring fo'!C9&gt;='Pricing and operating assumptio'!B16),'Monthly operating and hiring fo'!C9&gt;='Pricing and operating assumptio'!B16,IF(OR('Monthly operating and hiring fo'!C9="",'Pricing and operating assumptio'!B16=""),"",'Monthly operating and hiring fo'!C9&gt;='Pricing and operating assumptio'!B16))="",FALSE,IF(ISERROR('Monthly operating and hiring fo'!C9&gt;='Pricing and operating assumptio'!B16),'Monthly operating and hiring fo'!C9&gt;='Pricing and operating assumptio'!B16,IF(OR('Monthly operating and hiring fo'!C9="",'Pricing and operating assumptio'!B16=""),"",'Monthly operating and hiring fo'!C9&gt;='Pricing and operating assumptio'!B16))),IF('Pricing and operating assumptio'!B15="","",'Pricing and operating assumptio'!B15),0))</f>
        <v>25</v>
      </c>
      <c r="D7" s="12">
        <f>'Monthly operating and hiring fo'!D23-IF(IF(IF(IF(ISERROR('Monthly operating and hiring fo'!D9&gt;='Pricing and operating assumptio'!B16),'Monthly operating and hiring fo'!D9&gt;='Pricing and operating assumptio'!B16,IF(OR('Monthly operating and hiring fo'!D9="",'Pricing and operating assumptio'!B16=""),"",'Monthly operating and hiring fo'!D9&gt;='Pricing and operating assumptio'!B16))="",FALSE,IF(ISERROR('Monthly operating and hiring fo'!D9&gt;='Pricing and operating assumptio'!B16),'Monthly operating and hiring fo'!D9&gt;='Pricing and operating assumptio'!B16,IF(OR('Monthly operating and hiring fo'!D9="",'Pricing and operating assumptio'!B16=""),"",'Monthly operating and hiring fo'!D9&gt;='Pricing and operating assumptio'!B16))),IF('Pricing and operating assumptio'!B15="","",'Pricing and operating assumptio'!B15),0)="",0,IF(IF(IF(ISERROR('Monthly operating and hiring fo'!D9&gt;='Pricing and operating assumptio'!B16),'Monthly operating and hiring fo'!D9&gt;='Pricing and operating assumptio'!B16,IF(OR('Monthly operating and hiring fo'!D9="",'Pricing and operating assumptio'!B16=""),"",'Monthly operating and hiring fo'!D9&gt;='Pricing and operating assumptio'!B16))="",FALSE,IF(ISERROR('Monthly operating and hiring fo'!D9&gt;='Pricing and operating assumptio'!B16),'Monthly operating and hiring fo'!D9&gt;='Pricing and operating assumptio'!B16,IF(OR('Monthly operating and hiring fo'!D9="",'Pricing and operating assumptio'!B16=""),"",'Monthly operating and hiring fo'!D9&gt;='Pricing and operating assumptio'!B16))),IF('Pricing and operating assumptio'!B15="","",'Pricing and operating assumptio'!B15),0))</f>
        <v>203</v>
      </c>
      <c r="E7" s="12">
        <f>'Monthly operating and hiring fo'!E23-IF(IF(IF(IF(ISERROR('Monthly operating and hiring fo'!E9&gt;='Pricing and operating assumptio'!B16),'Monthly operating and hiring fo'!E9&gt;='Pricing and operating assumptio'!B16,IF(OR('Monthly operating and hiring fo'!E9="",'Pricing and operating assumptio'!B16=""),"",'Monthly operating and hiring fo'!E9&gt;='Pricing and operating assumptio'!B16))="",FALSE,IF(ISERROR('Monthly operating and hiring fo'!E9&gt;='Pricing and operating assumptio'!B16),'Monthly operating and hiring fo'!E9&gt;='Pricing and operating assumptio'!B16,IF(OR('Monthly operating and hiring fo'!E9="",'Pricing and operating assumptio'!B16=""),"",'Monthly operating and hiring fo'!E9&gt;='Pricing and operating assumptio'!B16))),IF('Pricing and operating assumptio'!B15="","",'Pricing and operating assumptio'!B15),0)="",0,IF(IF(IF(ISERROR('Monthly operating and hiring fo'!E9&gt;='Pricing and operating assumptio'!B16),'Monthly operating and hiring fo'!E9&gt;='Pricing and operating assumptio'!B16,IF(OR('Monthly operating and hiring fo'!E9="",'Pricing and operating assumptio'!B16=""),"",'Monthly operating and hiring fo'!E9&gt;='Pricing and operating assumptio'!B16))="",FALSE,IF(ISERROR('Monthly operating and hiring fo'!E9&gt;='Pricing and operating assumptio'!B16),'Monthly operating and hiring fo'!E9&gt;='Pricing and operating assumptio'!B16,IF(OR('Monthly operating and hiring fo'!E9="",'Pricing and operating assumptio'!B16=""),"",'Monthly operating and hiring fo'!E9&gt;='Pricing and operating assumptio'!B16))),IF('Pricing and operating assumptio'!B15="","",'Pricing and operating assumptio'!B15),0))</f>
        <v>387</v>
      </c>
      <c r="F7" s="12">
        <f>'Monthly operating and hiring fo'!F23-IF(IF(IF(IF(ISERROR('Monthly operating and hiring fo'!F9&gt;='Pricing and operating assumptio'!B16),'Monthly operating and hiring fo'!F9&gt;='Pricing and operating assumptio'!B16,IF(OR('Monthly operating and hiring fo'!F9="",'Pricing and operating assumptio'!B16=""),"",'Monthly operating and hiring fo'!F9&gt;='Pricing and operating assumptio'!B16))="",FALSE,IF(ISERROR('Monthly operating and hiring fo'!F9&gt;='Pricing and operating assumptio'!B16),'Monthly operating and hiring fo'!F9&gt;='Pricing and operating assumptio'!B16,IF(OR('Monthly operating and hiring fo'!F9="",'Pricing and operating assumptio'!B16=""),"",'Monthly operating and hiring fo'!F9&gt;='Pricing and operating assumptio'!B16))),IF('Pricing and operating assumptio'!B15="","",'Pricing and operating assumptio'!B15),0)="",0,IF(IF(IF(ISERROR('Monthly operating and hiring fo'!F9&gt;='Pricing and operating assumptio'!B16),'Monthly operating and hiring fo'!F9&gt;='Pricing and operating assumptio'!B16,IF(OR('Monthly operating and hiring fo'!F9="",'Pricing and operating assumptio'!B16=""),"",'Monthly operating and hiring fo'!F9&gt;='Pricing and operating assumptio'!B16))="",FALSE,IF(ISERROR('Monthly operating and hiring fo'!F9&gt;='Pricing and operating assumptio'!B16),'Monthly operating and hiring fo'!F9&gt;='Pricing and operating assumptio'!B16,IF(OR('Monthly operating and hiring fo'!F9="",'Pricing and operating assumptio'!B16=""),"",'Monthly operating and hiring fo'!F9&gt;='Pricing and operating assumptio'!B16))),IF('Pricing and operating assumptio'!B15="","",'Pricing and operating assumptio'!B15),0))</f>
        <v>571</v>
      </c>
      <c r="G7" s="12">
        <f>'Monthly operating and hiring fo'!G23-IF(IF(IF(IF(ISERROR('Monthly operating and hiring fo'!G9&gt;='Pricing and operating assumptio'!B16),'Monthly operating and hiring fo'!G9&gt;='Pricing and operating assumptio'!B16,IF(OR('Monthly operating and hiring fo'!G9="",'Pricing and operating assumptio'!B16=""),"",'Monthly operating and hiring fo'!G9&gt;='Pricing and operating assumptio'!B16))="",FALSE,IF(ISERROR('Monthly operating and hiring fo'!G9&gt;='Pricing and operating assumptio'!B16),'Monthly operating and hiring fo'!G9&gt;='Pricing and operating assumptio'!B16,IF(OR('Monthly operating and hiring fo'!G9="",'Pricing and operating assumptio'!B16=""),"",'Monthly operating and hiring fo'!G9&gt;='Pricing and operating assumptio'!B16))),IF('Pricing and operating assumptio'!B15="","",'Pricing and operating assumptio'!B15),0)="",0,IF(IF(IF(ISERROR('Monthly operating and hiring fo'!G9&gt;='Pricing and operating assumptio'!B16),'Monthly operating and hiring fo'!G9&gt;='Pricing and operating assumptio'!B16,IF(OR('Monthly operating and hiring fo'!G9="",'Pricing and operating assumptio'!B16=""),"",'Monthly operating and hiring fo'!G9&gt;='Pricing and operating assumptio'!B16))="",FALSE,IF(ISERROR('Monthly operating and hiring fo'!G9&gt;='Pricing and operating assumptio'!B16),'Monthly operating and hiring fo'!G9&gt;='Pricing and operating assumptio'!B16,IF(OR('Monthly operating and hiring fo'!G9="",'Pricing and operating assumptio'!B16=""),"",'Monthly operating and hiring fo'!G9&gt;='Pricing and operating assumptio'!B16))),IF('Pricing and operating assumptio'!B15="","",'Pricing and operating assumptio'!B15),0))</f>
        <v>755</v>
      </c>
      <c r="H7" s="12">
        <f>'Monthly operating and hiring fo'!H23-IF(IF(IF(IF(ISERROR('Monthly operating and hiring fo'!H9&gt;='Pricing and operating assumptio'!B16),'Monthly operating and hiring fo'!H9&gt;='Pricing and operating assumptio'!B16,IF(OR('Monthly operating and hiring fo'!H9="",'Pricing and operating assumptio'!B16=""),"",'Monthly operating and hiring fo'!H9&gt;='Pricing and operating assumptio'!B16))="",FALSE,IF(ISERROR('Monthly operating and hiring fo'!H9&gt;='Pricing and operating assumptio'!B16),'Monthly operating and hiring fo'!H9&gt;='Pricing and operating assumptio'!B16,IF(OR('Monthly operating and hiring fo'!H9="",'Pricing and operating assumptio'!B16=""),"",'Monthly operating and hiring fo'!H9&gt;='Pricing and operating assumptio'!B16))),IF('Pricing and operating assumptio'!B15="","",'Pricing and operating assumptio'!B15),0)="",0,IF(IF(IF(ISERROR('Monthly operating and hiring fo'!H9&gt;='Pricing and operating assumptio'!B16),'Monthly operating and hiring fo'!H9&gt;='Pricing and operating assumptio'!B16,IF(OR('Monthly operating and hiring fo'!H9="",'Pricing and operating assumptio'!B16=""),"",'Monthly operating and hiring fo'!H9&gt;='Pricing and operating assumptio'!B16))="",FALSE,IF(ISERROR('Monthly operating and hiring fo'!H9&gt;='Pricing and operating assumptio'!B16),'Monthly operating and hiring fo'!H9&gt;='Pricing and operating assumptio'!B16,IF(OR('Monthly operating and hiring fo'!H9="",'Pricing and operating assumptio'!B16=""),"",'Monthly operating and hiring fo'!H9&gt;='Pricing and operating assumptio'!B16))),IF('Pricing and operating assumptio'!B15="","",'Pricing and operating assumptio'!B15),0))</f>
        <v>-2693</v>
      </c>
      <c r="I7" s="12">
        <f>'Monthly operating and hiring fo'!I23-IF(IF(IF(IF(ISERROR('Monthly operating and hiring fo'!I9&gt;='Pricing and operating assumptio'!B16),'Monthly operating and hiring fo'!I9&gt;='Pricing and operating assumptio'!B16,IF(OR('Monthly operating and hiring fo'!I9="",'Pricing and operating assumptio'!B16=""),"",'Monthly operating and hiring fo'!I9&gt;='Pricing and operating assumptio'!B16))="",FALSE,IF(ISERROR('Monthly operating and hiring fo'!I9&gt;='Pricing and operating assumptio'!B16),'Monthly operating and hiring fo'!I9&gt;='Pricing and operating assumptio'!B16,IF(OR('Monthly operating and hiring fo'!I9="",'Pricing and operating assumptio'!B16=""),"",'Monthly operating and hiring fo'!I9&gt;='Pricing and operating assumptio'!B16))),IF('Pricing and operating assumptio'!B15="","",'Pricing and operating assumptio'!B15),0)="",0,IF(IF(IF(ISERROR('Monthly operating and hiring fo'!I9&gt;='Pricing and operating assumptio'!B16),'Monthly operating and hiring fo'!I9&gt;='Pricing and operating assumptio'!B16,IF(OR('Monthly operating and hiring fo'!I9="",'Pricing and operating assumptio'!B16=""),"",'Monthly operating and hiring fo'!I9&gt;='Pricing and operating assumptio'!B16))="",FALSE,IF(ISERROR('Monthly operating and hiring fo'!I9&gt;='Pricing and operating assumptio'!B16),'Monthly operating and hiring fo'!I9&gt;='Pricing and operating assumptio'!B16,IF(OR('Monthly operating and hiring fo'!I9="",'Pricing and operating assumptio'!B16=""),"",'Monthly operating and hiring fo'!I9&gt;='Pricing and operating assumptio'!B16))),IF('Pricing and operating assumptio'!B15="","",'Pricing and operating assumptio'!B15),0))</f>
        <v>-2141</v>
      </c>
      <c r="J7" s="12">
        <f>'Monthly operating and hiring fo'!J23-IF(IF(IF(IF(ISERROR('Monthly operating and hiring fo'!J9&gt;='Pricing and operating assumptio'!B16),'Monthly operating and hiring fo'!J9&gt;='Pricing and operating assumptio'!B16,IF(OR('Monthly operating and hiring fo'!J9="",'Pricing and operating assumptio'!B16=""),"",'Monthly operating and hiring fo'!J9&gt;='Pricing and operating assumptio'!B16))="",FALSE,IF(ISERROR('Monthly operating and hiring fo'!J9&gt;='Pricing and operating assumptio'!B16),'Monthly operating and hiring fo'!J9&gt;='Pricing and operating assumptio'!B16,IF(OR('Monthly operating and hiring fo'!J9="",'Pricing and operating assumptio'!B16=""),"",'Monthly operating and hiring fo'!J9&gt;='Pricing and operating assumptio'!B16))),IF('Pricing and operating assumptio'!B15="","",'Pricing and operating assumptio'!B15),0)="",0,IF(IF(IF(ISERROR('Monthly operating and hiring fo'!J9&gt;='Pricing and operating assumptio'!B16),'Monthly operating and hiring fo'!J9&gt;='Pricing and operating assumptio'!B16,IF(OR('Monthly operating and hiring fo'!J9="",'Pricing and operating assumptio'!B16=""),"",'Monthly operating and hiring fo'!J9&gt;='Pricing and operating assumptio'!B16))="",FALSE,IF(ISERROR('Monthly operating and hiring fo'!J9&gt;='Pricing and operating assumptio'!B16),'Monthly operating and hiring fo'!J9&gt;='Pricing and operating assumptio'!B16,IF(OR('Monthly operating and hiring fo'!J9="",'Pricing and operating assumptio'!B16=""),"",'Monthly operating and hiring fo'!J9&gt;='Pricing and operating assumptio'!B16))),IF('Pricing and operating assumptio'!B15="","",'Pricing and operating assumptio'!B15),0))</f>
        <v>-1405</v>
      </c>
      <c r="K7" s="12">
        <f>'Monthly operating and hiring fo'!K23-IF(IF(IF(IF(ISERROR('Monthly operating and hiring fo'!K9&gt;='Pricing and operating assumptio'!B16),'Monthly operating and hiring fo'!K9&gt;='Pricing and operating assumptio'!B16,IF(OR('Monthly operating and hiring fo'!K9="",'Pricing and operating assumptio'!B16=""),"",'Monthly operating and hiring fo'!K9&gt;='Pricing and operating assumptio'!B16))="",FALSE,IF(ISERROR('Monthly operating and hiring fo'!K9&gt;='Pricing and operating assumptio'!B16),'Monthly operating and hiring fo'!K9&gt;='Pricing and operating assumptio'!B16,IF(OR('Monthly operating and hiring fo'!K9="",'Pricing and operating assumptio'!B16=""),"",'Monthly operating and hiring fo'!K9&gt;='Pricing and operating assumptio'!B16))),IF('Pricing and operating assumptio'!B15="","",'Pricing and operating assumptio'!B15),0)="",0,IF(IF(IF(ISERROR('Monthly operating and hiring fo'!K9&gt;='Pricing and operating assumptio'!B16),'Monthly operating and hiring fo'!K9&gt;='Pricing and operating assumptio'!B16,IF(OR('Monthly operating and hiring fo'!K9="",'Pricing and operating assumptio'!B16=""),"",'Monthly operating and hiring fo'!K9&gt;='Pricing and operating assumptio'!B16))="",FALSE,IF(ISERROR('Monthly operating and hiring fo'!K9&gt;='Pricing and operating assumptio'!B16),'Monthly operating and hiring fo'!K9&gt;='Pricing and operating assumptio'!B16,IF(OR('Monthly operating and hiring fo'!K9="",'Pricing and operating assumptio'!B16=""),"",'Monthly operating and hiring fo'!K9&gt;='Pricing and operating assumptio'!B16))),IF('Pricing and operating assumptio'!B15="","",'Pricing and operating assumptio'!B15),0))</f>
        <v>-6485</v>
      </c>
      <c r="L7" s="12">
        <f>'Monthly operating and hiring fo'!L23-IF(IF(IF(IF(ISERROR('Monthly operating and hiring fo'!L9&gt;='Pricing and operating assumptio'!B16),'Monthly operating and hiring fo'!L9&gt;='Pricing and operating assumptio'!B16,IF(OR('Monthly operating and hiring fo'!L9="",'Pricing and operating assumptio'!B16=""),"",'Monthly operating and hiring fo'!L9&gt;='Pricing and operating assumptio'!B16))="",FALSE,IF(ISERROR('Monthly operating and hiring fo'!L9&gt;='Pricing and operating assumptio'!B16),'Monthly operating and hiring fo'!L9&gt;='Pricing and operating assumptio'!B16,IF(OR('Monthly operating and hiring fo'!L9="",'Pricing and operating assumptio'!B16=""),"",'Monthly operating and hiring fo'!L9&gt;='Pricing and operating assumptio'!B16))),IF('Pricing and operating assumptio'!B15="","",'Pricing and operating assumptio'!B15),0)="",0,IF(IF(IF(ISERROR('Monthly operating and hiring fo'!L9&gt;='Pricing and operating assumptio'!B16),'Monthly operating and hiring fo'!L9&gt;='Pricing and operating assumptio'!B16,IF(OR('Monthly operating and hiring fo'!L9="",'Pricing and operating assumptio'!B16=""),"",'Monthly operating and hiring fo'!L9&gt;='Pricing and operating assumptio'!B16))="",FALSE,IF(ISERROR('Monthly operating and hiring fo'!L9&gt;='Pricing and operating assumptio'!B16),'Monthly operating and hiring fo'!L9&gt;='Pricing and operating assumptio'!B16,IF(OR('Monthly operating and hiring fo'!L9="",'Pricing and operating assumptio'!B16=""),"",'Monthly operating and hiring fo'!L9&gt;='Pricing and operating assumptio'!B16))),IF('Pricing and operating assumptio'!B15="","",'Pricing and operating assumptio'!B15),0))</f>
        <v>-5565</v>
      </c>
      <c r="M7" s="12">
        <f>'Monthly operating and hiring fo'!M23-IF(IF(IF(IF(ISERROR('Monthly operating and hiring fo'!M9&gt;='Pricing and operating assumptio'!B16),'Monthly operating and hiring fo'!M9&gt;='Pricing and operating assumptio'!B16,IF(OR('Monthly operating and hiring fo'!M9="",'Pricing and operating assumptio'!B16=""),"",'Monthly operating and hiring fo'!M9&gt;='Pricing and operating assumptio'!B16))="",FALSE,IF(ISERROR('Monthly operating and hiring fo'!M9&gt;='Pricing and operating assumptio'!B16),'Monthly operating and hiring fo'!M9&gt;='Pricing and operating assumptio'!B16,IF(OR('Monthly operating and hiring fo'!M9="",'Pricing and operating assumptio'!B16=""),"",'Monthly operating and hiring fo'!M9&gt;='Pricing and operating assumptio'!B16))),IF('Pricing and operating assumptio'!B15="","",'Pricing and operating assumptio'!B15),0)="",0,IF(IF(IF(ISERROR('Monthly operating and hiring fo'!M9&gt;='Pricing and operating assumptio'!B16),'Monthly operating and hiring fo'!M9&gt;='Pricing and operating assumptio'!B16,IF(OR('Monthly operating and hiring fo'!M9="",'Pricing and operating assumptio'!B16=""),"",'Monthly operating and hiring fo'!M9&gt;='Pricing and operating assumptio'!B16))="",FALSE,IF(ISERROR('Monthly operating and hiring fo'!M9&gt;='Pricing and operating assumptio'!B16),'Monthly operating and hiring fo'!M9&gt;='Pricing and operating assumptio'!B16,IF(OR('Monthly operating and hiring fo'!M9="",'Pricing and operating assumptio'!B16=""),"",'Monthly operating and hiring fo'!M9&gt;='Pricing and operating assumptio'!B16))),IF('Pricing and operating assumptio'!B15="","",'Pricing and operating assumptio'!B15),0))</f>
        <v>-4645</v>
      </c>
    </row>
    <row r="8">
      <c r="A8" t="inlineStr" s="7">
        <is>
          <t xml:space="preserve">Cumulative cash if hired at earliest month</t>
        </is>
      </c>
      <c r="B8" s="12">
        <f>IF(IF(IF(ISERROR('Monthly operating and hiring fo'!B9=1),'Monthly operating and hiring fo'!B9=1,IF('Monthly operating and hiring fo'!B9="","",'Monthly operating and hiring fo'!B9=1))="",FALSE,IF(ISERROR('Monthly operating and hiring fo'!B9=1),'Monthly operating and hiring fo'!B9=1,IF('Monthly operating and hiring fo'!B9="","",'Monthly operating and hiring fo'!B9=1))),IF('Pricing and early-hire stress t'!B7="","",'Pricing and early-hire stress t'!B7),'Model inputs'!B14+'Pricing and early-hire stress t'!B7)</f>
        <v>-154.5</v>
      </c>
      <c r="C8" s="12">
        <f>IF(IF(IF(ISERROR('Monthly operating and hiring fo'!C9=1),'Monthly operating and hiring fo'!C9=1,IF('Monthly operating and hiring fo'!C9="","",'Monthly operating and hiring fo'!C9=1))="",FALSE,IF(ISERROR('Monthly operating and hiring fo'!C9=1),'Monthly operating and hiring fo'!C9=1,IF('Monthly operating and hiring fo'!C9="","",'Monthly operating and hiring fo'!C9=1))),IF('Pricing and early-hire stress t'!C7="","",'Pricing and early-hire stress t'!C7),'Pricing and early-hire stress t'!B8+'Pricing and early-hire stress t'!C7)</f>
        <v>-129.5</v>
      </c>
      <c r="D8" s="12">
        <f>IF(IF(IF(ISERROR('Monthly operating and hiring fo'!D9=1),'Monthly operating and hiring fo'!D9=1,IF('Monthly operating and hiring fo'!D9="","",'Monthly operating and hiring fo'!D9=1))="",FALSE,IF(ISERROR('Monthly operating and hiring fo'!D9=1),'Monthly operating and hiring fo'!D9=1,IF('Monthly operating and hiring fo'!D9="","",'Monthly operating and hiring fo'!D9=1))),IF('Pricing and early-hire stress t'!D7="","",'Pricing and early-hire stress t'!D7),'Pricing and early-hire stress t'!C8+'Pricing and early-hire stress t'!D7)</f>
        <v>73.5</v>
      </c>
      <c r="E8" s="12">
        <f>IF(IF(IF(ISERROR('Monthly operating and hiring fo'!E9=1),'Monthly operating and hiring fo'!E9=1,IF('Monthly operating and hiring fo'!E9="","",'Monthly operating and hiring fo'!E9=1))="",FALSE,IF(ISERROR('Monthly operating and hiring fo'!E9=1),'Monthly operating and hiring fo'!E9=1,IF('Monthly operating and hiring fo'!E9="","",'Monthly operating and hiring fo'!E9=1))),IF('Pricing and early-hire stress t'!E7="","",'Pricing and early-hire stress t'!E7),'Pricing and early-hire stress t'!D8+'Pricing and early-hire stress t'!E7)</f>
        <v>460.5</v>
      </c>
      <c r="F8" s="12">
        <f>IF(IF(IF(ISERROR('Monthly operating and hiring fo'!F9=1),'Monthly operating and hiring fo'!F9=1,IF('Monthly operating and hiring fo'!F9="","",'Monthly operating and hiring fo'!F9=1))="",FALSE,IF(ISERROR('Monthly operating and hiring fo'!F9=1),'Monthly operating and hiring fo'!F9=1,IF('Monthly operating and hiring fo'!F9="","",'Monthly operating and hiring fo'!F9=1))),IF('Pricing and early-hire stress t'!F7="","",'Pricing and early-hire stress t'!F7),'Pricing and early-hire stress t'!E8+'Pricing and early-hire stress t'!F7)</f>
        <v>1031.5</v>
      </c>
      <c r="G8" s="12">
        <f>IF(IF(IF(ISERROR('Monthly operating and hiring fo'!G9=1),'Monthly operating and hiring fo'!G9=1,IF('Monthly operating and hiring fo'!G9="","",'Monthly operating and hiring fo'!G9=1))="",FALSE,IF(ISERROR('Monthly operating and hiring fo'!G9=1),'Monthly operating and hiring fo'!G9=1,IF('Monthly operating and hiring fo'!G9="","",'Monthly operating and hiring fo'!G9=1))),IF('Pricing and early-hire stress t'!G7="","",'Pricing and early-hire stress t'!G7),'Pricing and early-hire stress t'!F8+'Pricing and early-hire stress t'!G7)</f>
        <v>1786.5</v>
      </c>
      <c r="H8" s="12">
        <f>IF(IF(IF(ISERROR('Monthly operating and hiring fo'!H9=1),'Monthly operating and hiring fo'!H9=1,IF('Monthly operating and hiring fo'!H9="","",'Monthly operating and hiring fo'!H9=1))="",FALSE,IF(ISERROR('Monthly operating and hiring fo'!H9=1),'Monthly operating and hiring fo'!H9=1,IF('Monthly operating and hiring fo'!H9="","",'Monthly operating and hiring fo'!H9=1))),IF('Pricing and early-hire stress t'!H7="","",'Pricing and early-hire stress t'!H7),'Pricing and early-hire stress t'!G8+'Pricing and early-hire stress t'!H7)</f>
        <v>-906.5</v>
      </c>
      <c r="I8" s="12">
        <f>IF(IF(IF(ISERROR('Monthly operating and hiring fo'!I9=1),'Monthly operating and hiring fo'!I9=1,IF('Monthly operating and hiring fo'!I9="","",'Monthly operating and hiring fo'!I9=1))="",FALSE,IF(ISERROR('Monthly operating and hiring fo'!I9=1),'Monthly operating and hiring fo'!I9=1,IF('Monthly operating and hiring fo'!I9="","",'Monthly operating and hiring fo'!I9=1))),IF('Pricing and early-hire stress t'!I7="","",'Pricing and early-hire stress t'!I7),'Pricing and early-hire stress t'!H8+'Pricing and early-hire stress t'!I7)</f>
        <v>-3047.5</v>
      </c>
      <c r="J8" s="12">
        <f>IF(IF(IF(ISERROR('Monthly operating and hiring fo'!J9=1),'Monthly operating and hiring fo'!J9=1,IF('Monthly operating and hiring fo'!J9="","",'Monthly operating and hiring fo'!J9=1))="",FALSE,IF(ISERROR('Monthly operating and hiring fo'!J9=1),'Monthly operating and hiring fo'!J9=1,IF('Monthly operating and hiring fo'!J9="","",'Monthly operating and hiring fo'!J9=1))),IF('Pricing and early-hire stress t'!J7="","",'Pricing and early-hire stress t'!J7),'Pricing and early-hire stress t'!I8+'Pricing and early-hire stress t'!J7)</f>
        <v>-4452.5</v>
      </c>
      <c r="K8" s="12">
        <f>IF(IF(IF(ISERROR('Monthly operating and hiring fo'!K9=1),'Monthly operating and hiring fo'!K9=1,IF('Monthly operating and hiring fo'!K9="","",'Monthly operating and hiring fo'!K9=1))="",FALSE,IF(ISERROR('Monthly operating and hiring fo'!K9=1),'Monthly operating and hiring fo'!K9=1,IF('Monthly operating and hiring fo'!K9="","",'Monthly operating and hiring fo'!K9=1))),IF('Pricing and early-hire stress t'!K7="","",'Pricing and early-hire stress t'!K7),'Pricing and early-hire stress t'!J8+'Pricing and early-hire stress t'!K7)</f>
        <v>-10937.5</v>
      </c>
      <c r="L8" s="12">
        <f>IF(IF(IF(ISERROR('Monthly operating and hiring fo'!L9=1),'Monthly operating and hiring fo'!L9=1,IF('Monthly operating and hiring fo'!L9="","",'Monthly operating and hiring fo'!L9=1))="",FALSE,IF(ISERROR('Monthly operating and hiring fo'!L9=1),'Monthly operating and hiring fo'!L9=1,IF('Monthly operating and hiring fo'!L9="","",'Monthly operating and hiring fo'!L9=1))),IF('Pricing and early-hire stress t'!L7="","",'Pricing and early-hire stress t'!L7),'Pricing and early-hire stress t'!K8+'Pricing and early-hire stress t'!L7)</f>
        <v>-16502.5</v>
      </c>
      <c r="M8" s="12">
        <f>IF(IF(IF(ISERROR('Monthly operating and hiring fo'!M9=1),'Monthly operating and hiring fo'!M9=1,IF('Monthly operating and hiring fo'!M9="","",'Monthly operating and hiring fo'!M9=1))="",FALSE,IF(ISERROR('Monthly operating and hiring fo'!M9=1),'Monthly operating and hiring fo'!M9=1,IF('Monthly operating and hiring fo'!M9="","",'Monthly operating and hiring fo'!M9=1))),IF('Pricing and early-hire stress t'!M7="","",'Pricing and early-hire stress t'!M7),'Pricing and early-hire stress t'!L8+'Pricing and early-hire stress t'!M7)</f>
        <v>-21147.5</v>
      </c>
    </row>
    <row r="9">
      <c r="A9" t="inlineStr" s="5">
        <is>
          <t xml:space="preserve">Funding if hired at earliest month</t>
        </is>
      </c>
      <c r="B9" s="17">
        <f>IF(IF(IF(ISERROR('Monthly operating and hiring fo'!B9=1),'Monthly operating and hiring fo'!B9=1,IF('Monthly operating and hiring fo'!B9="","",'Monthly operating and hiring fo'!B9=1))="",FALSE,IF(ISERROR('Monthly operating and hiring fo'!B9=1),'Monthly operating and hiring fo'!B9=1,IF('Monthly operating and hiring fo'!B9="","",'Monthly operating and hiring fo'!B9=1))),MAX(0,-'Pricing and early-hire stress t'!B8),MAX(0,-'Pricing and early-hire stress t'!B8,'Model inputs'!B41))</f>
        <v>154.5</v>
      </c>
      <c r="C9" s="17">
        <f>IF(IF(IF(ISERROR('Monthly operating and hiring fo'!C9=1),'Monthly operating and hiring fo'!C9=1,IF('Monthly operating and hiring fo'!C9="","",'Monthly operating and hiring fo'!C9=1))="",FALSE,IF(ISERROR('Monthly operating and hiring fo'!C9=1),'Monthly operating and hiring fo'!C9=1,IF('Monthly operating and hiring fo'!C9="","",'Monthly operating and hiring fo'!C9=1))),MAX(0,-'Pricing and early-hire stress t'!C8),MAX(0,-'Pricing and early-hire stress t'!C8,'Pricing and early-hire stress t'!B9))</f>
        <v>154.5</v>
      </c>
      <c r="D9" s="17">
        <f>IF(IF(IF(ISERROR('Monthly operating and hiring fo'!D9=1),'Monthly operating and hiring fo'!D9=1,IF('Monthly operating and hiring fo'!D9="","",'Monthly operating and hiring fo'!D9=1))="",FALSE,IF(ISERROR('Monthly operating and hiring fo'!D9=1),'Monthly operating and hiring fo'!D9=1,IF('Monthly operating and hiring fo'!D9="","",'Monthly operating and hiring fo'!D9=1))),MAX(0,-'Pricing and early-hire stress t'!D8),MAX(0,-'Pricing and early-hire stress t'!D8,'Pricing and early-hire stress t'!C9))</f>
        <v>154.5</v>
      </c>
      <c r="E9" s="17">
        <f>IF(IF(IF(ISERROR('Monthly operating and hiring fo'!E9=1),'Monthly operating and hiring fo'!E9=1,IF('Monthly operating and hiring fo'!E9="","",'Monthly operating and hiring fo'!E9=1))="",FALSE,IF(ISERROR('Monthly operating and hiring fo'!E9=1),'Monthly operating and hiring fo'!E9=1,IF('Monthly operating and hiring fo'!E9="","",'Monthly operating and hiring fo'!E9=1))),MAX(0,-'Pricing and early-hire stress t'!E8),MAX(0,-'Pricing and early-hire stress t'!E8,'Pricing and early-hire stress t'!D9))</f>
        <v>154.5</v>
      </c>
      <c r="F9" s="17">
        <f>IF(IF(IF(ISERROR('Monthly operating and hiring fo'!F9=1),'Monthly operating and hiring fo'!F9=1,IF('Monthly operating and hiring fo'!F9="","",'Monthly operating and hiring fo'!F9=1))="",FALSE,IF(ISERROR('Monthly operating and hiring fo'!F9=1),'Monthly operating and hiring fo'!F9=1,IF('Monthly operating and hiring fo'!F9="","",'Monthly operating and hiring fo'!F9=1))),MAX(0,-'Pricing and early-hire stress t'!F8),MAX(0,-'Pricing and early-hire stress t'!F8,'Pricing and early-hire stress t'!E9))</f>
        <v>154.5</v>
      </c>
      <c r="G9" s="17">
        <f>IF(IF(IF(ISERROR('Monthly operating and hiring fo'!G9=1),'Monthly operating and hiring fo'!G9=1,IF('Monthly operating and hiring fo'!G9="","",'Monthly operating and hiring fo'!G9=1))="",FALSE,IF(ISERROR('Monthly operating and hiring fo'!G9=1),'Monthly operating and hiring fo'!G9=1,IF('Monthly operating and hiring fo'!G9="","",'Monthly operating and hiring fo'!G9=1))),MAX(0,-'Pricing and early-hire stress t'!G8),MAX(0,-'Pricing and early-hire stress t'!G8,'Pricing and early-hire stress t'!F9))</f>
        <v>154.5</v>
      </c>
      <c r="H9" s="17">
        <f>IF(IF(IF(ISERROR('Monthly operating and hiring fo'!H9=1),'Monthly operating and hiring fo'!H9=1,IF('Monthly operating and hiring fo'!H9="","",'Monthly operating and hiring fo'!H9=1))="",FALSE,IF(ISERROR('Monthly operating and hiring fo'!H9=1),'Monthly operating and hiring fo'!H9=1,IF('Monthly operating and hiring fo'!H9="","",'Monthly operating and hiring fo'!H9=1))),MAX(0,-'Pricing and early-hire stress t'!H8),MAX(0,-'Pricing and early-hire stress t'!H8,'Pricing and early-hire stress t'!G9))</f>
        <v>906.5</v>
      </c>
      <c r="I9" s="17">
        <f>IF(IF(IF(ISERROR('Monthly operating and hiring fo'!I9=1),'Monthly operating and hiring fo'!I9=1,IF('Monthly operating and hiring fo'!I9="","",'Monthly operating and hiring fo'!I9=1))="",FALSE,IF(ISERROR('Monthly operating and hiring fo'!I9=1),'Monthly operating and hiring fo'!I9=1,IF('Monthly operating and hiring fo'!I9="","",'Monthly operating and hiring fo'!I9=1))),MAX(0,-'Pricing and early-hire stress t'!I8),MAX(0,-'Pricing and early-hire stress t'!I8,'Pricing and early-hire stress t'!H9))</f>
        <v>3047.5</v>
      </c>
      <c r="J9" s="17">
        <f>IF(IF(IF(ISERROR('Monthly operating and hiring fo'!J9=1),'Monthly operating and hiring fo'!J9=1,IF('Monthly operating and hiring fo'!J9="","",'Monthly operating and hiring fo'!J9=1))="",FALSE,IF(ISERROR('Monthly operating and hiring fo'!J9=1),'Monthly operating and hiring fo'!J9=1,IF('Monthly operating and hiring fo'!J9="","",'Monthly operating and hiring fo'!J9=1))),MAX(0,-'Pricing and early-hire stress t'!J8),MAX(0,-'Pricing and early-hire stress t'!J8,'Pricing and early-hire stress t'!I9))</f>
        <v>4452.5</v>
      </c>
      <c r="K9" s="17">
        <f>IF(IF(IF(ISERROR('Monthly operating and hiring fo'!K9=1),'Monthly operating and hiring fo'!K9=1,IF('Monthly operating and hiring fo'!K9="","",'Monthly operating and hiring fo'!K9=1))="",FALSE,IF(ISERROR('Monthly operating and hiring fo'!K9=1),'Monthly operating and hiring fo'!K9=1,IF('Monthly operating and hiring fo'!K9="","",'Monthly operating and hiring fo'!K9=1))),MAX(0,-'Pricing and early-hire stress t'!K8),MAX(0,-'Pricing and early-hire stress t'!K8,'Pricing and early-hire stress t'!J9))</f>
        <v>10937.5</v>
      </c>
      <c r="L9" s="17">
        <f>IF(IF(IF(ISERROR('Monthly operating and hiring fo'!L9=1),'Monthly operating and hiring fo'!L9=1,IF('Monthly operating and hiring fo'!L9="","",'Monthly operating and hiring fo'!L9=1))="",FALSE,IF(ISERROR('Monthly operating and hiring fo'!L9=1),'Monthly operating and hiring fo'!L9=1,IF('Monthly operating and hiring fo'!L9="","",'Monthly operating and hiring fo'!L9=1))),MAX(0,-'Pricing and early-hire stress t'!L8),MAX(0,-'Pricing and early-hire stress t'!L8,'Pricing and early-hire stress t'!K9))</f>
        <v>16502.5</v>
      </c>
      <c r="M9" s="17">
        <f>IF(IF(IF(ISERROR('Monthly operating and hiring fo'!M9=1),'Monthly operating and hiring fo'!M9=1,IF('Monthly operating and hiring fo'!M9="","",'Monthly operating and hiring fo'!M9=1))="",FALSE,IF(ISERROR('Monthly operating and hiring fo'!M9=1),'Monthly operating and hiring fo'!M9=1,IF('Monthly operating and hiring fo'!M9="","",'Monthly operating and hiring fo'!M9=1))),MAX(0,-'Pricing and early-hire stress t'!M8),MAX(0,-'Pricing and early-hire stress t'!M8,'Pricing and early-hire stress t'!L9))</f>
        <v>21147.5</v>
      </c>
    </row>
  </sheetData>
  <mergeCells count="1">
    <mergeCell ref="A1:M1"/>
  </mergeCells>
</worksheet>
</file>

<file path=xl/worksheets/sheet5.xml><?xml version="1.0" encoding="utf-8"?>
<worksheet xmlns="http://schemas.openxmlformats.org/spreadsheetml/2006/main">
  <dimension ref="A1:W260"/>
  <sheetViews>
    <sheetView showGridLines="0" workbookViewId="0">
      <pane xSplit="1" ySplit="5" topLeftCell="B6" activePane="bottomRight" state="frozen"/>
      <selection pane="bottomRight" activeCell="B6" sqref="B6"/>
    </sheetView>
  </sheetViews>
  <sheetFormatPr defaultRowHeight="18"/>
  <cols>
    <col min="1" max="1" width="42" customWidth="1"/>
    <col min="2" max="2" width="19" customWidth="1"/>
    <col min="3" max="3" width="19" customWidth="1"/>
    <col min="4" max="4" width="19" customWidth="1"/>
    <col min="5" max="5" width="19" customWidth="1"/>
    <col min="6" max="6" width="19" customWidth="1"/>
    <col min="7" max="7" width="19" customWidth="1"/>
    <col min="8" max="8" width="19" customWidth="1"/>
    <col min="9" max="9" width="19" customWidth="1"/>
    <col min="10" max="10" width="19" customWidth="1"/>
    <col min="11" max="11" width="19" customWidth="1"/>
    <col min="12" max="12" width="19" customWidth="1"/>
    <col min="13" max="13" width="19" customWidth="1"/>
    <col min="14" max="14" width="19" customWidth="1"/>
    <col min="15" max="15" width="19" customWidth="1"/>
    <col min="16" max="16" width="19" customWidth="1"/>
    <col min="17" max="17" width="19" customWidth="1"/>
    <col min="18" max="18" width="19" customWidth="1"/>
    <col min="19" max="19" width="19" customWidth="1"/>
    <col min="20" max="20" width="19" customWidth="1"/>
    <col min="21" max="21" width="19" customWidth="1"/>
    <col min="22" max="22" width="19" customWidth="1"/>
    <col min="23" max="23" width="19" customWidth="1"/>
  </cols>
  <sheetData>
    <row r="1" ht="32" customHeight="1">
      <c r="A1" t="inlineStr" s="1">
        <is>
          <t xml:space="preserve">Model inputs</t>
        </is>
      </c>
    </row>
    <row r="2" ht="20" customHeight="1">
      <c r="A2" t="inlineStr" s="2">
        <is>
          <t xml:space="preserve">Integration values are aggregated snapshots; raw source records are not included.</t>
        </is>
      </c>
    </row>
    <row r="4">
      <c r="A4" t="inlineStr" s="18">
        <is>
          <t xml:space="preserve">Variables</t>
        </is>
      </c>
    </row>
    <row r="5" ht="22" customHeight="1">
      <c r="A5" t="inlineStr" s="3">
        <is>
          <t xml:space="preserve">Variable / segment</t>
        </is>
      </c>
      <c r="B5" t="inlineStr" s="4">
        <is>
          <t xml:space="preserve">2026-09</t>
        </is>
      </c>
      <c r="C5" t="inlineStr" s="11">
        <is>
          <t xml:space="preserve">2026-10</t>
        </is>
      </c>
      <c r="D5" t="inlineStr" s="4">
        <is>
          <t xml:space="preserve">2026-11</t>
        </is>
      </c>
      <c r="E5" t="inlineStr" s="4">
        <is>
          <t xml:space="preserve">2026-12</t>
        </is>
      </c>
      <c r="F5" t="inlineStr" s="11">
        <is>
          <t xml:space="preserve">2027-01</t>
        </is>
      </c>
      <c r="G5" t="inlineStr" s="4">
        <is>
          <t xml:space="preserve">2027-02</t>
        </is>
      </c>
      <c r="H5" t="inlineStr" s="4">
        <is>
          <t xml:space="preserve">2027-03</t>
        </is>
      </c>
      <c r="I5" t="inlineStr" s="11">
        <is>
          <t xml:space="preserve">2027-04</t>
        </is>
      </c>
      <c r="J5" t="inlineStr" s="4">
        <is>
          <t xml:space="preserve">2027-05</t>
        </is>
      </c>
      <c r="K5" t="inlineStr" s="4">
        <is>
          <t xml:space="preserve">2027-06</t>
        </is>
      </c>
      <c r="L5" t="inlineStr" s="11">
        <is>
          <t xml:space="preserve">2027-07</t>
        </is>
      </c>
      <c r="M5" t="inlineStr" s="4">
        <is>
          <t xml:space="preserve">2027-08</t>
        </is>
      </c>
      <c r="N5" t="inlineStr" s="4">
        <is>
          <t xml:space="preserve">2027-09</t>
        </is>
      </c>
      <c r="O5" t="inlineStr" s="4">
        <is>
          <t xml:space="preserve">Value</t>
        </is>
      </c>
      <c r="P5" t="inlineStr" s="11">
        <is>
          <t xml:space="preserve">2026-01</t>
        </is>
      </c>
      <c r="Q5" t="inlineStr" s="4">
        <is>
          <t xml:space="preserve">2026-02</t>
        </is>
      </c>
      <c r="R5" t="inlineStr" s="4">
        <is>
          <t xml:space="preserve">2026-03</t>
        </is>
      </c>
      <c r="S5" t="inlineStr" s="11">
        <is>
          <t xml:space="preserve">2026-04</t>
        </is>
      </c>
      <c r="T5" t="inlineStr" s="4">
        <is>
          <t xml:space="preserve">2026-05</t>
        </is>
      </c>
      <c r="U5" t="inlineStr" s="4">
        <is>
          <t xml:space="preserve">2026-06</t>
        </is>
      </c>
      <c r="V5" t="inlineStr" s="11">
        <is>
          <t xml:space="preserve">2026-07</t>
        </is>
      </c>
      <c r="W5" t="inlineStr" s="4">
        <is>
          <t xml:space="preserve">2026-08</t>
        </is>
      </c>
    </row>
    <row r="6">
      <c r="A6" t="inlineStr" s="19">
        <is>
          <t xml:space="preserve">Cash flow before hire · Main Scenario</t>
        </is>
      </c>
      <c r="B6" t="e" s="20">
        <f>'Model inputs'!B42-'Model inputs'!B38-'Model inputs'!B33-'Model inputs'!B35</f>
        <v>#VALUE!</v>
      </c>
      <c r="C6" s="20">
        <f>'Model inputs'!C42-'Model inputs'!C38-'Model inputs'!C33-'Model inputs'!C35</f>
        <v>-154.5</v>
      </c>
      <c r="D6" s="20">
        <f>'Model inputs'!D42-'Model inputs'!D38-'Model inputs'!D33-'Model inputs'!D35</f>
        <v>25</v>
      </c>
      <c r="E6" s="20">
        <f>'Model inputs'!E42-'Model inputs'!E38-'Model inputs'!E33-'Model inputs'!E35</f>
        <v>203</v>
      </c>
      <c r="F6" s="20">
        <f>'Model inputs'!F42-'Model inputs'!F38-'Model inputs'!F33-'Model inputs'!F35</f>
        <v>387</v>
      </c>
      <c r="G6" s="20">
        <f>'Model inputs'!G42-'Model inputs'!G38-'Model inputs'!G33-'Model inputs'!G35</f>
        <v>571</v>
      </c>
      <c r="H6" s="20">
        <f>'Model inputs'!H42-'Model inputs'!H38-'Model inputs'!H33-'Model inputs'!H35</f>
        <v>755</v>
      </c>
      <c r="I6" s="20">
        <f>'Model inputs'!I42-'Model inputs'!I38-'Model inputs'!I33-'Model inputs'!I35</f>
        <v>-2693</v>
      </c>
      <c r="J6" s="20">
        <f>'Model inputs'!J42-'Model inputs'!J38-'Model inputs'!J33-'Model inputs'!J35</f>
        <v>-2141</v>
      </c>
      <c r="K6" s="20">
        <f>'Model inputs'!K42-'Model inputs'!K38-'Model inputs'!K33-'Model inputs'!K35</f>
        <v>-1405</v>
      </c>
      <c r="L6" s="20">
        <f>'Model inputs'!L42-'Model inputs'!L38-'Model inputs'!L33-'Model inputs'!L35</f>
        <v>-485</v>
      </c>
      <c r="M6" s="20">
        <f>'Model inputs'!M42-'Model inputs'!M38-'Model inputs'!M33-'Model inputs'!M35</f>
        <v>435</v>
      </c>
      <c r="N6" s="20">
        <f>'Model inputs'!N42-'Model inputs'!N38-'Model inputs'!N33-'Model inputs'!N35</f>
        <v>1355</v>
      </c>
    </row>
    <row r="7">
      <c r="A7" t="inlineStr" s="19">
        <is>
          <t xml:space="preserve">Cash flow before hire · Upside</t>
        </is>
      </c>
      <c r="B7" t="e" s="20">
        <f>'Model inputs'!B87-'Model inputs'!B84-'Model inputs'!B80-'Model inputs'!B82</f>
        <v>#VALUE!</v>
      </c>
      <c r="C7" s="20">
        <f>'Model inputs'!C87-'Model inputs'!C84-'Model inputs'!C80-'Model inputs'!C82</f>
        <v>29.5</v>
      </c>
      <c r="D7" s="20">
        <f>'Model inputs'!D87-'Model inputs'!D84-'Model inputs'!D80-'Model inputs'!D82</f>
        <v>209</v>
      </c>
      <c r="E7" s="20">
        <f>'Model inputs'!E87-'Model inputs'!E84-'Model inputs'!E80-'Model inputs'!E82</f>
        <v>571</v>
      </c>
      <c r="F7" s="20">
        <f>'Model inputs'!F87-'Model inputs'!F84-'Model inputs'!F80-'Model inputs'!F82</f>
        <v>939</v>
      </c>
      <c r="G7" s="20">
        <f>'Model inputs'!G87-'Model inputs'!G84-'Model inputs'!G80-'Model inputs'!G82</f>
        <v>1491</v>
      </c>
      <c r="H7" s="20">
        <f>'Model inputs'!H87-'Model inputs'!H84-'Model inputs'!H80-'Model inputs'!H82</f>
        <v>2043</v>
      </c>
      <c r="I7" s="20">
        <f>'Model inputs'!I87-'Model inputs'!I84-'Model inputs'!I80-'Model inputs'!I82</f>
        <v>-1037</v>
      </c>
      <c r="J7" s="20">
        <f>'Model inputs'!J87-'Model inputs'!J84-'Model inputs'!J80-'Model inputs'!J82</f>
        <v>67</v>
      </c>
      <c r="K7" s="20">
        <f>'Model inputs'!K87-'Model inputs'!K84-'Model inputs'!K80-'Model inputs'!K82</f>
        <v>1355</v>
      </c>
      <c r="L7" s="20">
        <f>'Model inputs'!L87-'Model inputs'!L84-'Model inputs'!L80-'Model inputs'!L82</f>
        <v>3195</v>
      </c>
      <c r="M7" s="20">
        <f>'Model inputs'!M87-'Model inputs'!M84-'Model inputs'!M80-'Model inputs'!M82</f>
        <v>5035</v>
      </c>
      <c r="N7" s="20">
        <f>'Model inputs'!N87-'Model inputs'!N84-'Model inputs'!N80-'Model inputs'!N82</f>
        <v>6875</v>
      </c>
    </row>
    <row r="8">
      <c r="A8" t="inlineStr" s="19">
        <is>
          <t xml:space="preserve">Cash flow before hire · Downside</t>
        </is>
      </c>
      <c r="B8" t="e" s="20">
        <f>'Model inputs'!B88-'Model inputs'!B85-'Model inputs'!B81-'Model inputs'!B83</f>
        <v>#VALUE!</v>
      </c>
      <c r="C8" s="20">
        <f>'Model inputs'!C88-'Model inputs'!C85-'Model inputs'!C81-'Model inputs'!C83</f>
        <v>-154.5</v>
      </c>
      <c r="D8" s="20">
        <f>'Model inputs'!D88-'Model inputs'!D85-'Model inputs'!D81-'Model inputs'!D83</f>
        <v>-159</v>
      </c>
      <c r="E8" s="20">
        <f>'Model inputs'!E88-'Model inputs'!E85-'Model inputs'!E81-'Model inputs'!E83</f>
        <v>19</v>
      </c>
      <c r="F8" s="20">
        <f>'Model inputs'!F88-'Model inputs'!F85-'Model inputs'!F81-'Model inputs'!F83</f>
        <v>19</v>
      </c>
      <c r="G8" s="20">
        <f>'Model inputs'!G88-'Model inputs'!G85-'Model inputs'!G81-'Model inputs'!G83</f>
        <v>203</v>
      </c>
      <c r="H8" s="20">
        <f>'Model inputs'!H88-'Model inputs'!H85-'Model inputs'!H81-'Model inputs'!H83</f>
        <v>203</v>
      </c>
      <c r="I8" s="20">
        <f>'Model inputs'!I88-'Model inputs'!I85-'Model inputs'!I81-'Model inputs'!I83</f>
        <v>-3613</v>
      </c>
      <c r="J8" s="20">
        <f>'Model inputs'!J88-'Model inputs'!J85-'Model inputs'!J81-'Model inputs'!J83</f>
        <v>-3429</v>
      </c>
      <c r="K8" s="20">
        <f>'Model inputs'!K88-'Model inputs'!K85-'Model inputs'!K81-'Model inputs'!K83</f>
        <v>-3245</v>
      </c>
      <c r="L8" s="20">
        <f>'Model inputs'!L88-'Model inputs'!L85-'Model inputs'!L81-'Model inputs'!L83</f>
        <v>-2877</v>
      </c>
      <c r="M8" s="20">
        <f>'Model inputs'!M88-'Model inputs'!M85-'Model inputs'!M81-'Model inputs'!M83</f>
        <v>-2509</v>
      </c>
      <c r="N8" s="20">
        <f>'Model inputs'!N88-'Model inputs'!N85-'Model inputs'!N81-'Model inputs'!N83</f>
        <v>-1957</v>
      </c>
    </row>
    <row r="9">
      <c r="A9" t="inlineStr" s="19">
        <is>
          <t xml:space="preserve">Cash flow if hired at earliest month</t>
        </is>
      </c>
      <c r="B9" t="e" s="20">
        <f>'Model inputs'!B6-IF(IF(IF(IF(ISERROR('Model inputs'!B59&gt;='Model inputs'!O18),'Model inputs'!B59&gt;='Model inputs'!O18,IF(OR('Model inputs'!B59="",'Model inputs'!O18=""),"",'Model inputs'!B59&gt;='Model inputs'!O18))="",FALSE,IF(ISERROR('Model inputs'!B59&gt;='Model inputs'!O18),'Model inputs'!B59&gt;='Model inputs'!O18,IF(OR('Model inputs'!B59="",'Model inputs'!O18=""),"",'Model inputs'!B59&gt;='Model inputs'!O18))),IF('Model inputs'!O10="","",'Model inputs'!O10),0)="",0,IF(IF(IF(ISERROR('Model inputs'!B59&gt;='Model inputs'!O18),'Model inputs'!B59&gt;='Model inputs'!O18,IF(OR('Model inputs'!B59="",'Model inputs'!O18=""),"",'Model inputs'!B59&gt;='Model inputs'!O18))="",FALSE,IF(ISERROR('Model inputs'!B59&gt;='Model inputs'!O18),'Model inputs'!B59&gt;='Model inputs'!O18,IF(OR('Model inputs'!B59="",'Model inputs'!O18=""),"",'Model inputs'!B59&gt;='Model inputs'!O18))),IF('Model inputs'!O10="","",'Model inputs'!O10),0))</f>
        <v>#VALUE!</v>
      </c>
      <c r="C9" s="20">
        <f>'Model inputs'!C6-IF(IF(IF(IF(ISERROR('Model inputs'!C59&gt;='Model inputs'!O18),'Model inputs'!C59&gt;='Model inputs'!O18,IF(OR('Model inputs'!C59="",'Model inputs'!O18=""),"",'Model inputs'!C59&gt;='Model inputs'!O18))="",FALSE,IF(ISERROR('Model inputs'!C59&gt;='Model inputs'!O18),'Model inputs'!C59&gt;='Model inputs'!O18,IF(OR('Model inputs'!C59="",'Model inputs'!O18=""),"",'Model inputs'!C59&gt;='Model inputs'!O18))),IF('Model inputs'!O10="","",'Model inputs'!O10),0)="",0,IF(IF(IF(ISERROR('Model inputs'!C59&gt;='Model inputs'!O18),'Model inputs'!C59&gt;='Model inputs'!O18,IF(OR('Model inputs'!C59="",'Model inputs'!O18=""),"",'Model inputs'!C59&gt;='Model inputs'!O18))="",FALSE,IF(ISERROR('Model inputs'!C59&gt;='Model inputs'!O18),'Model inputs'!C59&gt;='Model inputs'!O18,IF(OR('Model inputs'!C59="",'Model inputs'!O18=""),"",'Model inputs'!C59&gt;='Model inputs'!O18))),IF('Model inputs'!O10="","",'Model inputs'!O10),0))</f>
        <v>-154.5</v>
      </c>
      <c r="D9" s="20">
        <f>'Model inputs'!D6-IF(IF(IF(IF(ISERROR('Model inputs'!D59&gt;='Model inputs'!O18),'Model inputs'!D59&gt;='Model inputs'!O18,IF(OR('Model inputs'!D59="",'Model inputs'!O18=""),"",'Model inputs'!D59&gt;='Model inputs'!O18))="",FALSE,IF(ISERROR('Model inputs'!D59&gt;='Model inputs'!O18),'Model inputs'!D59&gt;='Model inputs'!O18,IF(OR('Model inputs'!D59="",'Model inputs'!O18=""),"",'Model inputs'!D59&gt;='Model inputs'!O18))),IF('Model inputs'!O10="","",'Model inputs'!O10),0)="",0,IF(IF(IF(ISERROR('Model inputs'!D59&gt;='Model inputs'!O18),'Model inputs'!D59&gt;='Model inputs'!O18,IF(OR('Model inputs'!D59="",'Model inputs'!O18=""),"",'Model inputs'!D59&gt;='Model inputs'!O18))="",FALSE,IF(ISERROR('Model inputs'!D59&gt;='Model inputs'!O18),'Model inputs'!D59&gt;='Model inputs'!O18,IF(OR('Model inputs'!D59="",'Model inputs'!O18=""),"",'Model inputs'!D59&gt;='Model inputs'!O18))),IF('Model inputs'!O10="","",'Model inputs'!O10),0))</f>
        <v>25</v>
      </c>
      <c r="E9" s="20">
        <f>'Model inputs'!E6-IF(IF(IF(IF(ISERROR('Model inputs'!E59&gt;='Model inputs'!O18),'Model inputs'!E59&gt;='Model inputs'!O18,IF(OR('Model inputs'!E59="",'Model inputs'!O18=""),"",'Model inputs'!E59&gt;='Model inputs'!O18))="",FALSE,IF(ISERROR('Model inputs'!E59&gt;='Model inputs'!O18),'Model inputs'!E59&gt;='Model inputs'!O18,IF(OR('Model inputs'!E59="",'Model inputs'!O18=""),"",'Model inputs'!E59&gt;='Model inputs'!O18))),IF('Model inputs'!O10="","",'Model inputs'!O10),0)="",0,IF(IF(IF(ISERROR('Model inputs'!E59&gt;='Model inputs'!O18),'Model inputs'!E59&gt;='Model inputs'!O18,IF(OR('Model inputs'!E59="",'Model inputs'!O18=""),"",'Model inputs'!E59&gt;='Model inputs'!O18))="",FALSE,IF(ISERROR('Model inputs'!E59&gt;='Model inputs'!O18),'Model inputs'!E59&gt;='Model inputs'!O18,IF(OR('Model inputs'!E59="",'Model inputs'!O18=""),"",'Model inputs'!E59&gt;='Model inputs'!O18))),IF('Model inputs'!O10="","",'Model inputs'!O10),0))</f>
        <v>203</v>
      </c>
      <c r="F9" s="20">
        <f>'Model inputs'!F6-IF(IF(IF(IF(ISERROR('Model inputs'!F59&gt;='Model inputs'!O18),'Model inputs'!F59&gt;='Model inputs'!O18,IF(OR('Model inputs'!F59="",'Model inputs'!O18=""),"",'Model inputs'!F59&gt;='Model inputs'!O18))="",FALSE,IF(ISERROR('Model inputs'!F59&gt;='Model inputs'!O18),'Model inputs'!F59&gt;='Model inputs'!O18,IF(OR('Model inputs'!F59="",'Model inputs'!O18=""),"",'Model inputs'!F59&gt;='Model inputs'!O18))),IF('Model inputs'!O10="","",'Model inputs'!O10),0)="",0,IF(IF(IF(ISERROR('Model inputs'!F59&gt;='Model inputs'!O18),'Model inputs'!F59&gt;='Model inputs'!O18,IF(OR('Model inputs'!F59="",'Model inputs'!O18=""),"",'Model inputs'!F59&gt;='Model inputs'!O18))="",FALSE,IF(ISERROR('Model inputs'!F59&gt;='Model inputs'!O18),'Model inputs'!F59&gt;='Model inputs'!O18,IF(OR('Model inputs'!F59="",'Model inputs'!O18=""),"",'Model inputs'!F59&gt;='Model inputs'!O18))),IF('Model inputs'!O10="","",'Model inputs'!O10),0))</f>
        <v>387</v>
      </c>
      <c r="G9" s="20">
        <f>'Model inputs'!G6-IF(IF(IF(IF(ISERROR('Model inputs'!G59&gt;='Model inputs'!O18),'Model inputs'!G59&gt;='Model inputs'!O18,IF(OR('Model inputs'!G59="",'Model inputs'!O18=""),"",'Model inputs'!G59&gt;='Model inputs'!O18))="",FALSE,IF(ISERROR('Model inputs'!G59&gt;='Model inputs'!O18),'Model inputs'!G59&gt;='Model inputs'!O18,IF(OR('Model inputs'!G59="",'Model inputs'!O18=""),"",'Model inputs'!G59&gt;='Model inputs'!O18))),IF('Model inputs'!O10="","",'Model inputs'!O10),0)="",0,IF(IF(IF(ISERROR('Model inputs'!G59&gt;='Model inputs'!O18),'Model inputs'!G59&gt;='Model inputs'!O18,IF(OR('Model inputs'!G59="",'Model inputs'!O18=""),"",'Model inputs'!G59&gt;='Model inputs'!O18))="",FALSE,IF(ISERROR('Model inputs'!G59&gt;='Model inputs'!O18),'Model inputs'!G59&gt;='Model inputs'!O18,IF(OR('Model inputs'!G59="",'Model inputs'!O18=""),"",'Model inputs'!G59&gt;='Model inputs'!O18))),IF('Model inputs'!O10="","",'Model inputs'!O10),0))</f>
        <v>571</v>
      </c>
      <c r="H9" s="20">
        <f>'Model inputs'!H6-IF(IF(IF(IF(ISERROR('Model inputs'!H59&gt;='Model inputs'!O18),'Model inputs'!H59&gt;='Model inputs'!O18,IF(OR('Model inputs'!H59="",'Model inputs'!O18=""),"",'Model inputs'!H59&gt;='Model inputs'!O18))="",FALSE,IF(ISERROR('Model inputs'!H59&gt;='Model inputs'!O18),'Model inputs'!H59&gt;='Model inputs'!O18,IF(OR('Model inputs'!H59="",'Model inputs'!O18=""),"",'Model inputs'!H59&gt;='Model inputs'!O18))),IF('Model inputs'!O10="","",'Model inputs'!O10),0)="",0,IF(IF(IF(ISERROR('Model inputs'!H59&gt;='Model inputs'!O18),'Model inputs'!H59&gt;='Model inputs'!O18,IF(OR('Model inputs'!H59="",'Model inputs'!O18=""),"",'Model inputs'!H59&gt;='Model inputs'!O18))="",FALSE,IF(ISERROR('Model inputs'!H59&gt;='Model inputs'!O18),'Model inputs'!H59&gt;='Model inputs'!O18,IF(OR('Model inputs'!H59="",'Model inputs'!O18=""),"",'Model inputs'!H59&gt;='Model inputs'!O18))),IF('Model inputs'!O10="","",'Model inputs'!O10),0))</f>
        <v>755</v>
      </c>
      <c r="I9" s="20">
        <f>'Model inputs'!I6-IF(IF(IF(IF(ISERROR('Model inputs'!I59&gt;='Model inputs'!O18),'Model inputs'!I59&gt;='Model inputs'!O18,IF(OR('Model inputs'!I59="",'Model inputs'!O18=""),"",'Model inputs'!I59&gt;='Model inputs'!O18))="",FALSE,IF(ISERROR('Model inputs'!I59&gt;='Model inputs'!O18),'Model inputs'!I59&gt;='Model inputs'!O18,IF(OR('Model inputs'!I59="",'Model inputs'!O18=""),"",'Model inputs'!I59&gt;='Model inputs'!O18))),IF('Model inputs'!O10="","",'Model inputs'!O10),0)="",0,IF(IF(IF(ISERROR('Model inputs'!I59&gt;='Model inputs'!O18),'Model inputs'!I59&gt;='Model inputs'!O18,IF(OR('Model inputs'!I59="",'Model inputs'!O18=""),"",'Model inputs'!I59&gt;='Model inputs'!O18))="",FALSE,IF(ISERROR('Model inputs'!I59&gt;='Model inputs'!O18),'Model inputs'!I59&gt;='Model inputs'!O18,IF(OR('Model inputs'!I59="",'Model inputs'!O18=""),"",'Model inputs'!I59&gt;='Model inputs'!O18))),IF('Model inputs'!O10="","",'Model inputs'!O10),0))</f>
        <v>-2693</v>
      </c>
      <c r="J9" s="20">
        <f>'Model inputs'!J6-IF(IF(IF(IF(ISERROR('Model inputs'!J59&gt;='Model inputs'!O18),'Model inputs'!J59&gt;='Model inputs'!O18,IF(OR('Model inputs'!J59="",'Model inputs'!O18=""),"",'Model inputs'!J59&gt;='Model inputs'!O18))="",FALSE,IF(ISERROR('Model inputs'!J59&gt;='Model inputs'!O18),'Model inputs'!J59&gt;='Model inputs'!O18,IF(OR('Model inputs'!J59="",'Model inputs'!O18=""),"",'Model inputs'!J59&gt;='Model inputs'!O18))),IF('Model inputs'!O10="","",'Model inputs'!O10),0)="",0,IF(IF(IF(ISERROR('Model inputs'!J59&gt;='Model inputs'!O18),'Model inputs'!J59&gt;='Model inputs'!O18,IF(OR('Model inputs'!J59="",'Model inputs'!O18=""),"",'Model inputs'!J59&gt;='Model inputs'!O18))="",FALSE,IF(ISERROR('Model inputs'!J59&gt;='Model inputs'!O18),'Model inputs'!J59&gt;='Model inputs'!O18,IF(OR('Model inputs'!J59="",'Model inputs'!O18=""),"",'Model inputs'!J59&gt;='Model inputs'!O18))),IF('Model inputs'!O10="","",'Model inputs'!O10),0))</f>
        <v>-2141</v>
      </c>
      <c r="K9" s="20">
        <f>'Model inputs'!K6-IF(IF(IF(IF(ISERROR('Model inputs'!K59&gt;='Model inputs'!O18),'Model inputs'!K59&gt;='Model inputs'!O18,IF(OR('Model inputs'!K59="",'Model inputs'!O18=""),"",'Model inputs'!K59&gt;='Model inputs'!O18))="",FALSE,IF(ISERROR('Model inputs'!K59&gt;='Model inputs'!O18),'Model inputs'!K59&gt;='Model inputs'!O18,IF(OR('Model inputs'!K59="",'Model inputs'!O18=""),"",'Model inputs'!K59&gt;='Model inputs'!O18))),IF('Model inputs'!O10="","",'Model inputs'!O10),0)="",0,IF(IF(IF(ISERROR('Model inputs'!K59&gt;='Model inputs'!O18),'Model inputs'!K59&gt;='Model inputs'!O18,IF(OR('Model inputs'!K59="",'Model inputs'!O18=""),"",'Model inputs'!K59&gt;='Model inputs'!O18))="",FALSE,IF(ISERROR('Model inputs'!K59&gt;='Model inputs'!O18),'Model inputs'!K59&gt;='Model inputs'!O18,IF(OR('Model inputs'!K59="",'Model inputs'!O18=""),"",'Model inputs'!K59&gt;='Model inputs'!O18))),IF('Model inputs'!O10="","",'Model inputs'!O10),0))</f>
        <v>-1405</v>
      </c>
      <c r="L9" s="20">
        <f>'Model inputs'!L6-IF(IF(IF(IF(ISERROR('Model inputs'!L59&gt;='Model inputs'!O18),'Model inputs'!L59&gt;='Model inputs'!O18,IF(OR('Model inputs'!L59="",'Model inputs'!O18=""),"",'Model inputs'!L59&gt;='Model inputs'!O18))="",FALSE,IF(ISERROR('Model inputs'!L59&gt;='Model inputs'!O18),'Model inputs'!L59&gt;='Model inputs'!O18,IF(OR('Model inputs'!L59="",'Model inputs'!O18=""),"",'Model inputs'!L59&gt;='Model inputs'!O18))),IF('Model inputs'!O10="","",'Model inputs'!O10),0)="",0,IF(IF(IF(ISERROR('Model inputs'!L59&gt;='Model inputs'!O18),'Model inputs'!L59&gt;='Model inputs'!O18,IF(OR('Model inputs'!L59="",'Model inputs'!O18=""),"",'Model inputs'!L59&gt;='Model inputs'!O18))="",FALSE,IF(ISERROR('Model inputs'!L59&gt;='Model inputs'!O18),'Model inputs'!L59&gt;='Model inputs'!O18,IF(OR('Model inputs'!L59="",'Model inputs'!O18=""),"",'Model inputs'!L59&gt;='Model inputs'!O18))),IF('Model inputs'!O10="","",'Model inputs'!O10),0))</f>
        <v>-6485</v>
      </c>
      <c r="M9" s="20">
        <f>'Model inputs'!M6-IF(IF(IF(IF(ISERROR('Model inputs'!M59&gt;='Model inputs'!O18),'Model inputs'!M59&gt;='Model inputs'!O18,IF(OR('Model inputs'!M59="",'Model inputs'!O18=""),"",'Model inputs'!M59&gt;='Model inputs'!O18))="",FALSE,IF(ISERROR('Model inputs'!M59&gt;='Model inputs'!O18),'Model inputs'!M59&gt;='Model inputs'!O18,IF(OR('Model inputs'!M59="",'Model inputs'!O18=""),"",'Model inputs'!M59&gt;='Model inputs'!O18))),IF('Model inputs'!O10="","",'Model inputs'!O10),0)="",0,IF(IF(IF(ISERROR('Model inputs'!M59&gt;='Model inputs'!O18),'Model inputs'!M59&gt;='Model inputs'!O18,IF(OR('Model inputs'!M59="",'Model inputs'!O18=""),"",'Model inputs'!M59&gt;='Model inputs'!O18))="",FALSE,IF(ISERROR('Model inputs'!M59&gt;='Model inputs'!O18),'Model inputs'!M59&gt;='Model inputs'!O18,IF(OR('Model inputs'!M59="",'Model inputs'!O18=""),"",'Model inputs'!M59&gt;='Model inputs'!O18))),IF('Model inputs'!O10="","",'Model inputs'!O10),0))</f>
        <v>-5565</v>
      </c>
      <c r="N9" s="20">
        <f>'Model inputs'!N6-IF(IF(IF(IF(ISERROR('Model inputs'!N59&gt;='Model inputs'!O18),'Model inputs'!N59&gt;='Model inputs'!O18,IF(OR('Model inputs'!N59="",'Model inputs'!O18=""),"",'Model inputs'!N59&gt;='Model inputs'!O18))="",FALSE,IF(ISERROR('Model inputs'!N59&gt;='Model inputs'!O18),'Model inputs'!N59&gt;='Model inputs'!O18,IF(OR('Model inputs'!N59="",'Model inputs'!O18=""),"",'Model inputs'!N59&gt;='Model inputs'!O18))),IF('Model inputs'!O10="","",'Model inputs'!O10),0)="",0,IF(IF(IF(ISERROR('Model inputs'!N59&gt;='Model inputs'!O18),'Model inputs'!N59&gt;='Model inputs'!O18,IF(OR('Model inputs'!N59="",'Model inputs'!O18=""),"",'Model inputs'!N59&gt;='Model inputs'!O18))="",FALSE,IF(ISERROR('Model inputs'!N59&gt;='Model inputs'!O18),'Model inputs'!N59&gt;='Model inputs'!O18,IF(OR('Model inputs'!N59="",'Model inputs'!O18=""),"",'Model inputs'!N59&gt;='Model inputs'!O18))),IF('Model inputs'!O10="","",'Model inputs'!O10),0))</f>
        <v>-4645</v>
      </c>
    </row>
    <row r="10">
      <c r="A10" t="inlineStr" s="19">
        <is>
          <t xml:space="preserve">Contract engineer monthly cost · Main Scenario</t>
        </is>
      </c>
      <c r="O10" s="20">
        <f>'Pricing and operating assumptio'!B15</f>
        <v>6000</v>
      </c>
    </row>
    <row r="11">
      <c r="A11" t="inlineStr" s="19">
        <is>
          <t xml:space="preserve">Contract engineer monthly cost · Upside</t>
        </is>
      </c>
      <c r="O11" s="20">
        <f>'Pricing and operating assumptio'!B15</f>
        <v>6000</v>
      </c>
    </row>
    <row r="12">
      <c r="A12" t="inlineStr" s="19">
        <is>
          <t xml:space="preserve">Contract engineer monthly cost · Downside</t>
        </is>
      </c>
      <c r="O12" s="20">
        <f>'Pricing and operating assumptio'!B15</f>
        <v>6000</v>
      </c>
    </row>
    <row r="13">
      <c r="A13" t="inlineStr" s="19">
        <is>
          <t xml:space="preserve">Cost per successful fix · Monthly operating and hiring forecast</t>
        </is>
      </c>
      <c r="O13" s="9">
        <f>'Pricing and operating assumptio'!B9</f>
        <v>1.5</v>
      </c>
    </row>
    <row r="14">
      <c r="A14" t="inlineStr" s="19">
        <is>
          <t xml:space="preserve">Cumulative cash if hired at earliest month</t>
        </is>
      </c>
      <c r="B14" t="e" s="20">
        <f>IF(IF(IF(ISERROR('Model inputs'!B59=1),'Model inputs'!B59=1,IF('Model inputs'!B59="","",'Model inputs'!B59=1))="",FALSE,IF(ISERROR('Model inputs'!B59=1),'Model inputs'!B59=1,IF('Model inputs'!B59="","",'Model inputs'!B59=1))),IF('Model inputs'!B9="","",'Model inputs'!B9),'Model inputs'!W69+'Model inputs'!B9)</f>
        <v>#VALUE!</v>
      </c>
      <c r="C14" s="20">
        <f>IF(IF(IF(ISERROR('Model inputs'!C59=1),'Model inputs'!C59=1,IF('Model inputs'!C59="","",'Model inputs'!C59=1))="",FALSE,IF(ISERROR('Model inputs'!C59=1),'Model inputs'!C59=1,IF('Model inputs'!C59="","",'Model inputs'!C59=1))),IF('Model inputs'!C9="","",'Model inputs'!C9),'Model inputs'!B14+'Model inputs'!C9)</f>
        <v>-154.5</v>
      </c>
      <c r="D14" s="20">
        <f>IF(IF(IF(ISERROR('Model inputs'!D59=1),'Model inputs'!D59=1,IF('Model inputs'!D59="","",'Model inputs'!D59=1))="",FALSE,IF(ISERROR('Model inputs'!D59=1),'Model inputs'!D59=1,IF('Model inputs'!D59="","",'Model inputs'!D59=1))),IF('Model inputs'!D9="","",'Model inputs'!D9),'Model inputs'!C14+'Model inputs'!D9)</f>
        <v>-129.5</v>
      </c>
      <c r="E14" s="20">
        <f>IF(IF(IF(ISERROR('Model inputs'!E59=1),'Model inputs'!E59=1,IF('Model inputs'!E59="","",'Model inputs'!E59=1))="",FALSE,IF(ISERROR('Model inputs'!E59=1),'Model inputs'!E59=1,IF('Model inputs'!E59="","",'Model inputs'!E59=1))),IF('Model inputs'!E9="","",'Model inputs'!E9),'Model inputs'!D14+'Model inputs'!E9)</f>
        <v>73.5</v>
      </c>
      <c r="F14" s="20">
        <f>IF(IF(IF(ISERROR('Model inputs'!F59=1),'Model inputs'!F59=1,IF('Model inputs'!F59="","",'Model inputs'!F59=1))="",FALSE,IF(ISERROR('Model inputs'!F59=1),'Model inputs'!F59=1,IF('Model inputs'!F59="","",'Model inputs'!F59=1))),IF('Model inputs'!F9="","",'Model inputs'!F9),'Model inputs'!E14+'Model inputs'!F9)</f>
        <v>460.5</v>
      </c>
      <c r="G14" s="20">
        <f>IF(IF(IF(ISERROR('Model inputs'!G59=1),'Model inputs'!G59=1,IF('Model inputs'!G59="","",'Model inputs'!G59=1))="",FALSE,IF(ISERROR('Model inputs'!G59=1),'Model inputs'!G59=1,IF('Model inputs'!G59="","",'Model inputs'!G59=1))),IF('Model inputs'!G9="","",'Model inputs'!G9),'Model inputs'!F14+'Model inputs'!G9)</f>
        <v>1031.5</v>
      </c>
      <c r="H14" s="20">
        <f>IF(IF(IF(ISERROR('Model inputs'!H59=1),'Model inputs'!H59=1,IF('Model inputs'!H59="","",'Model inputs'!H59=1))="",FALSE,IF(ISERROR('Model inputs'!H59=1),'Model inputs'!H59=1,IF('Model inputs'!H59="","",'Model inputs'!H59=1))),IF('Model inputs'!H9="","",'Model inputs'!H9),'Model inputs'!G14+'Model inputs'!H9)</f>
        <v>1786.5</v>
      </c>
      <c r="I14" s="20">
        <f>IF(IF(IF(ISERROR('Model inputs'!I59=1),'Model inputs'!I59=1,IF('Model inputs'!I59="","",'Model inputs'!I59=1))="",FALSE,IF(ISERROR('Model inputs'!I59=1),'Model inputs'!I59=1,IF('Model inputs'!I59="","",'Model inputs'!I59=1))),IF('Model inputs'!I9="","",'Model inputs'!I9),'Model inputs'!H14+'Model inputs'!I9)</f>
        <v>-906.5</v>
      </c>
      <c r="J14" s="20">
        <f>IF(IF(IF(ISERROR('Model inputs'!J59=1),'Model inputs'!J59=1,IF('Model inputs'!J59="","",'Model inputs'!J59=1))="",FALSE,IF(ISERROR('Model inputs'!J59=1),'Model inputs'!J59=1,IF('Model inputs'!J59="","",'Model inputs'!J59=1))),IF('Model inputs'!J9="","",'Model inputs'!J9),'Model inputs'!I14+'Model inputs'!J9)</f>
        <v>-3047.5</v>
      </c>
      <c r="K14" s="20">
        <f>IF(IF(IF(ISERROR('Model inputs'!K59=1),'Model inputs'!K59=1,IF('Model inputs'!K59="","",'Model inputs'!K59=1))="",FALSE,IF(ISERROR('Model inputs'!K59=1),'Model inputs'!K59=1,IF('Model inputs'!K59="","",'Model inputs'!K59=1))),IF('Model inputs'!K9="","",'Model inputs'!K9),'Model inputs'!J14+'Model inputs'!K9)</f>
        <v>-4452.5</v>
      </c>
      <c r="L14" s="20">
        <f>IF(IF(IF(ISERROR('Model inputs'!L59=1),'Model inputs'!L59=1,IF('Model inputs'!L59="","",'Model inputs'!L59=1))="",FALSE,IF(ISERROR('Model inputs'!L59=1),'Model inputs'!L59=1,IF('Model inputs'!L59="","",'Model inputs'!L59=1))),IF('Model inputs'!L9="","",'Model inputs'!L9),'Model inputs'!K14+'Model inputs'!L9)</f>
        <v>-10937.5</v>
      </c>
      <c r="M14" s="20">
        <f>IF(IF(IF(ISERROR('Model inputs'!M59=1),'Model inputs'!M59=1,IF('Model inputs'!M59="","",'Model inputs'!M59=1))="",FALSE,IF(ISERROR('Model inputs'!M59=1),'Model inputs'!M59=1,IF('Model inputs'!M59="","",'Model inputs'!M59=1))),IF('Model inputs'!M9="","",'Model inputs'!M9),'Model inputs'!L14+'Model inputs'!M9)</f>
        <v>-16502.5</v>
      </c>
      <c r="N14" s="20">
        <f>IF(IF(IF(ISERROR('Model inputs'!N59=1),'Model inputs'!N59=1,IF('Model inputs'!N59="","",'Model inputs'!N59=1))="",FALSE,IF(ISERROR('Model inputs'!N59=1),'Model inputs'!N59=1,IF('Model inputs'!N59="","",'Model inputs'!N59=1))),IF('Model inputs'!N9="","",'Model inputs'!N9),'Model inputs'!M14+'Model inputs'!N9)</f>
        <v>-21147.5</v>
      </c>
    </row>
    <row r="15">
      <c r="A15" t="inlineStr" s="19">
        <is>
          <t xml:space="preserve">Cumulative operating cash · Main Scenario</t>
        </is>
      </c>
      <c r="B15" t="e" s="15">
        <f>IF(IF(IF(ISERROR('Model inputs'!B59=1),'Model inputs'!B59=1,IF('Model inputs'!B59="","",'Model inputs'!B59=1))="",FALSE,IF(ISERROR('Model inputs'!B59=1),'Model inputs'!B59=1,IF('Model inputs'!B59="","",'Model inputs'!B59=1))),IF('Model inputs'!B49="","",'Model inputs'!B49),'Model inputs'!W70+'Model inputs'!B49)</f>
        <v>#VALUE!</v>
      </c>
      <c r="C15" s="15">
        <f>IF(IF(IF(ISERROR('Model inputs'!C59=1),'Model inputs'!C59=1,IF('Model inputs'!C59="","",'Model inputs'!C59=1))="",FALSE,IF(ISERROR('Model inputs'!C59=1),'Model inputs'!C59=1,IF('Model inputs'!C59="","",'Model inputs'!C59=1))),IF('Model inputs'!C49="","",'Model inputs'!C49),'Model inputs'!B15+'Model inputs'!C49)</f>
        <v>-154.5</v>
      </c>
      <c r="D15" s="15">
        <f>IF(IF(IF(ISERROR('Model inputs'!D59=1),'Model inputs'!D59=1,IF('Model inputs'!D59="","",'Model inputs'!D59=1))="",FALSE,IF(ISERROR('Model inputs'!D59=1),'Model inputs'!D59=1,IF('Model inputs'!D59="","",'Model inputs'!D59=1))),IF('Model inputs'!D49="","",'Model inputs'!D49),'Model inputs'!C15+'Model inputs'!D49)</f>
        <v>-129.5</v>
      </c>
      <c r="E15" s="15">
        <f>IF(IF(IF(ISERROR('Model inputs'!E59=1),'Model inputs'!E59=1,IF('Model inputs'!E59="","",'Model inputs'!E59=1))="",FALSE,IF(ISERROR('Model inputs'!E59=1),'Model inputs'!E59=1,IF('Model inputs'!E59="","",'Model inputs'!E59=1))),IF('Model inputs'!E49="","",'Model inputs'!E49),'Model inputs'!D15+'Model inputs'!E49)</f>
        <v>73.5</v>
      </c>
      <c r="F15" s="15">
        <f>IF(IF(IF(ISERROR('Model inputs'!F59=1),'Model inputs'!F59=1,IF('Model inputs'!F59="","",'Model inputs'!F59=1))="",FALSE,IF(ISERROR('Model inputs'!F59=1),'Model inputs'!F59=1,IF('Model inputs'!F59="","",'Model inputs'!F59=1))),IF('Model inputs'!F49="","",'Model inputs'!F49),'Model inputs'!E15+'Model inputs'!F49)</f>
        <v>460.5</v>
      </c>
      <c r="G15" s="15">
        <f>IF(IF(IF(ISERROR('Model inputs'!G59=1),'Model inputs'!G59=1,IF('Model inputs'!G59="","",'Model inputs'!G59=1))="",FALSE,IF(ISERROR('Model inputs'!G59=1),'Model inputs'!G59=1,IF('Model inputs'!G59="","",'Model inputs'!G59=1))),IF('Model inputs'!G49="","",'Model inputs'!G49),'Model inputs'!F15+'Model inputs'!G49)</f>
        <v>1031.5</v>
      </c>
      <c r="H15" s="15">
        <f>IF(IF(IF(ISERROR('Model inputs'!H59=1),'Model inputs'!H59=1,IF('Model inputs'!H59="","",'Model inputs'!H59=1))="",FALSE,IF(ISERROR('Model inputs'!H59=1),'Model inputs'!H59=1,IF('Model inputs'!H59="","",'Model inputs'!H59=1))),IF('Model inputs'!H49="","",'Model inputs'!H49),'Model inputs'!G15+'Model inputs'!H49)</f>
        <v>1786.5</v>
      </c>
      <c r="I15" s="15">
        <f>IF(IF(IF(ISERROR('Model inputs'!I59=1),'Model inputs'!I59=1,IF('Model inputs'!I59="","",'Model inputs'!I59=1))="",FALSE,IF(ISERROR('Model inputs'!I59=1),'Model inputs'!I59=1,IF('Model inputs'!I59="","",'Model inputs'!I59=1))),IF('Model inputs'!I49="","",'Model inputs'!I49),'Model inputs'!H15+'Model inputs'!I49)</f>
        <v>-906.5</v>
      </c>
      <c r="J15" s="15">
        <f>IF(IF(IF(ISERROR('Model inputs'!J59=1),'Model inputs'!J59=1,IF('Model inputs'!J59="","",'Model inputs'!J59=1))="",FALSE,IF(ISERROR('Model inputs'!J59=1),'Model inputs'!J59=1,IF('Model inputs'!J59="","",'Model inputs'!J59=1))),IF('Model inputs'!J49="","",'Model inputs'!J49),'Model inputs'!I15+'Model inputs'!J49)</f>
        <v>-3047.5</v>
      </c>
      <c r="K15" s="15">
        <f>IF(IF(IF(ISERROR('Model inputs'!K59=1),'Model inputs'!K59=1,IF('Model inputs'!K59="","",'Model inputs'!K59=1))="",FALSE,IF(ISERROR('Model inputs'!K59=1),'Model inputs'!K59=1,IF('Model inputs'!K59="","",'Model inputs'!K59=1))),IF('Model inputs'!K49="","",'Model inputs'!K49),'Model inputs'!J15+'Model inputs'!K49)</f>
        <v>-4452.5</v>
      </c>
      <c r="L15" s="15">
        <f>IF(IF(IF(ISERROR('Model inputs'!L59=1),'Model inputs'!L59=1,IF('Model inputs'!L59="","",'Model inputs'!L59=1))="",FALSE,IF(ISERROR('Model inputs'!L59=1),'Model inputs'!L59=1,IF('Model inputs'!L59="","",'Model inputs'!L59=1))),IF('Model inputs'!L49="","",'Model inputs'!L49),'Model inputs'!K15+'Model inputs'!L49)</f>
        <v>-4937.5</v>
      </c>
      <c r="M15" s="15">
        <f>IF(IF(IF(ISERROR('Model inputs'!M59=1),'Model inputs'!M59=1,IF('Model inputs'!M59="","",'Model inputs'!M59=1))="",FALSE,IF(ISERROR('Model inputs'!M59=1),'Model inputs'!M59=1,IF('Model inputs'!M59="","",'Model inputs'!M59=1))),IF('Model inputs'!M49="","",'Model inputs'!M49),'Model inputs'!L15+'Model inputs'!M49)</f>
        <v>-4502.5</v>
      </c>
      <c r="N15" s="15">
        <f>IF(IF(IF(ISERROR('Model inputs'!N59=1),'Model inputs'!N59=1,IF('Model inputs'!N59="","",'Model inputs'!N59=1))="",FALSE,IF(ISERROR('Model inputs'!N59=1),'Model inputs'!N59=1,IF('Model inputs'!N59="","",'Model inputs'!N59=1))),IF('Model inputs'!N49="","",'Model inputs'!N49),'Model inputs'!M15+'Model inputs'!N49)</f>
        <v>-3147.5</v>
      </c>
    </row>
    <row r="16">
      <c r="A16" t="inlineStr" s="19">
        <is>
          <t xml:space="preserve">Cumulative operating cash · Upside</t>
        </is>
      </c>
      <c r="B16" t="e" s="15">
        <f>IF(IF(IF(ISERROR('Model inputs'!B60=1),'Model inputs'!B60=1,IF('Model inputs'!B60="","",'Model inputs'!B60=1))="",FALSE,IF(ISERROR('Model inputs'!B60=1),'Model inputs'!B60=1,IF('Model inputs'!B60="","",'Model inputs'!B60=1))),IF('Model inputs'!B50="","",'Model inputs'!B50),'Model inputs'!W71+'Model inputs'!B50)</f>
        <v>#VALUE!</v>
      </c>
      <c r="C16" s="15">
        <f>IF(IF(IF(ISERROR('Model inputs'!C60=1),'Model inputs'!C60=1,IF('Model inputs'!C60="","",'Model inputs'!C60=1))="",FALSE,IF(ISERROR('Model inputs'!C60=1),'Model inputs'!C60=1,IF('Model inputs'!C60="","",'Model inputs'!C60=1))),IF('Model inputs'!C50="","",'Model inputs'!C50),'Model inputs'!B16+'Model inputs'!C50)</f>
        <v>29.5</v>
      </c>
      <c r="D16" s="15">
        <f>IF(IF(IF(ISERROR('Model inputs'!D60=1),'Model inputs'!D60=1,IF('Model inputs'!D60="","",'Model inputs'!D60=1))="",FALSE,IF(ISERROR('Model inputs'!D60=1),'Model inputs'!D60=1,IF('Model inputs'!D60="","",'Model inputs'!D60=1))),IF('Model inputs'!D50="","",'Model inputs'!D50),'Model inputs'!C16+'Model inputs'!D50)</f>
        <v>238.5</v>
      </c>
      <c r="E16" s="15">
        <f>IF(IF(IF(ISERROR('Model inputs'!E60=1),'Model inputs'!E60=1,IF('Model inputs'!E60="","",'Model inputs'!E60=1))="",FALSE,IF(ISERROR('Model inputs'!E60=1),'Model inputs'!E60=1,IF('Model inputs'!E60="","",'Model inputs'!E60=1))),IF('Model inputs'!E50="","",'Model inputs'!E50),'Model inputs'!D16+'Model inputs'!E50)</f>
        <v>809.5</v>
      </c>
      <c r="F16" s="15">
        <f>IF(IF(IF(ISERROR('Model inputs'!F60=1),'Model inputs'!F60=1,IF('Model inputs'!F60="","",'Model inputs'!F60=1))="",FALSE,IF(ISERROR('Model inputs'!F60=1),'Model inputs'!F60=1,IF('Model inputs'!F60="","",'Model inputs'!F60=1))),IF('Model inputs'!F50="","",'Model inputs'!F50),'Model inputs'!E16+'Model inputs'!F50)</f>
        <v>1748.5</v>
      </c>
      <c r="G16" s="15">
        <f>IF(IF(IF(ISERROR('Model inputs'!G60=1),'Model inputs'!G60=1,IF('Model inputs'!G60="","",'Model inputs'!G60=1))="",FALSE,IF(ISERROR('Model inputs'!G60=1),'Model inputs'!G60=1,IF('Model inputs'!G60="","",'Model inputs'!G60=1))),IF('Model inputs'!G50="","",'Model inputs'!G50),'Model inputs'!F16+'Model inputs'!G50)</f>
        <v>3239.5</v>
      </c>
      <c r="H16" s="15">
        <f>IF(IF(IF(ISERROR('Model inputs'!H60=1),'Model inputs'!H60=1,IF('Model inputs'!H60="","",'Model inputs'!H60=1))="",FALSE,IF(ISERROR('Model inputs'!H60=1),'Model inputs'!H60=1,IF('Model inputs'!H60="","",'Model inputs'!H60=1))),IF('Model inputs'!H50="","",'Model inputs'!H50),'Model inputs'!G16+'Model inputs'!H50)</f>
        <v>5282.5</v>
      </c>
      <c r="I16" s="15">
        <f>IF(IF(IF(ISERROR('Model inputs'!I60=1),'Model inputs'!I60=1,IF('Model inputs'!I60="","",'Model inputs'!I60=1))="",FALSE,IF(ISERROR('Model inputs'!I60=1),'Model inputs'!I60=1,IF('Model inputs'!I60="","",'Model inputs'!I60=1))),IF('Model inputs'!I50="","",'Model inputs'!I50),'Model inputs'!H16+'Model inputs'!I50)</f>
        <v>4245.5</v>
      </c>
      <c r="J16" s="15">
        <f>IF(IF(IF(ISERROR('Model inputs'!J60=1),'Model inputs'!J60=1,IF('Model inputs'!J60="","",'Model inputs'!J60=1))="",FALSE,IF(ISERROR('Model inputs'!J60=1),'Model inputs'!J60=1,IF('Model inputs'!J60="","",'Model inputs'!J60=1))),IF('Model inputs'!J50="","",'Model inputs'!J50),'Model inputs'!I16+'Model inputs'!J50)</f>
        <v>4312.5</v>
      </c>
      <c r="K16" s="15">
        <f>IF(IF(IF(ISERROR('Model inputs'!K60=1),'Model inputs'!K60=1,IF('Model inputs'!K60="","",'Model inputs'!K60=1))="",FALSE,IF(ISERROR('Model inputs'!K60=1),'Model inputs'!K60=1,IF('Model inputs'!K60="","",'Model inputs'!K60=1))),IF('Model inputs'!K50="","",'Model inputs'!K50),'Model inputs'!J16+'Model inputs'!K50)</f>
        <v>5667.5</v>
      </c>
      <c r="L16" s="15">
        <f>IF(IF(IF(ISERROR('Model inputs'!L60=1),'Model inputs'!L60=1,IF('Model inputs'!L60="","",'Model inputs'!L60=1))="",FALSE,IF(ISERROR('Model inputs'!L60=1),'Model inputs'!L60=1,IF('Model inputs'!L60="","",'Model inputs'!L60=1))),IF('Model inputs'!L50="","",'Model inputs'!L50),'Model inputs'!K16+'Model inputs'!L50)</f>
        <v>8862.5</v>
      </c>
      <c r="M16" s="15">
        <f>IF(IF(IF(ISERROR('Model inputs'!M60=1),'Model inputs'!M60=1,IF('Model inputs'!M60="","",'Model inputs'!M60=1))="",FALSE,IF(ISERROR('Model inputs'!M60=1),'Model inputs'!M60=1,IF('Model inputs'!M60="","",'Model inputs'!M60=1))),IF('Model inputs'!M50="","",'Model inputs'!M50),'Model inputs'!L16+'Model inputs'!M50)</f>
        <v>13897.5</v>
      </c>
      <c r="N16" s="15">
        <f>IF(IF(IF(ISERROR('Model inputs'!N60=1),'Model inputs'!N60=1,IF('Model inputs'!N60="","",'Model inputs'!N60=1))="",FALSE,IF(ISERROR('Model inputs'!N60=1),'Model inputs'!N60=1,IF('Model inputs'!N60="","",'Model inputs'!N60=1))),IF('Model inputs'!N50="","",'Model inputs'!N50),'Model inputs'!M16+'Model inputs'!N50)</f>
        <v>14772.5</v>
      </c>
    </row>
    <row r="17">
      <c r="A17" t="inlineStr" s="19">
        <is>
          <t xml:space="preserve">Cumulative operating cash · Downside</t>
        </is>
      </c>
      <c r="B17" t="e" s="15">
        <f>IF(IF(IF(ISERROR('Model inputs'!B61=1),'Model inputs'!B61=1,IF('Model inputs'!B61="","",'Model inputs'!B61=1))="",FALSE,IF(ISERROR('Model inputs'!B61=1),'Model inputs'!B61=1,IF('Model inputs'!B61="","",'Model inputs'!B61=1))),IF('Model inputs'!B51="","",'Model inputs'!B51),'Model inputs'!W72+'Model inputs'!B51)</f>
        <v>#VALUE!</v>
      </c>
      <c r="C17" s="15">
        <f>IF(IF(IF(ISERROR('Model inputs'!C61=1),'Model inputs'!C61=1,IF('Model inputs'!C61="","",'Model inputs'!C61=1))="",FALSE,IF(ISERROR('Model inputs'!C61=1),'Model inputs'!C61=1,IF('Model inputs'!C61="","",'Model inputs'!C61=1))),IF('Model inputs'!C51="","",'Model inputs'!C51),'Model inputs'!B17+'Model inputs'!C51)</f>
        <v>-154.5</v>
      </c>
      <c r="D17" s="15">
        <f>IF(IF(IF(ISERROR('Model inputs'!D61=1),'Model inputs'!D61=1,IF('Model inputs'!D61="","",'Model inputs'!D61=1))="",FALSE,IF(ISERROR('Model inputs'!D61=1),'Model inputs'!D61=1,IF('Model inputs'!D61="","",'Model inputs'!D61=1))),IF('Model inputs'!D51="","",'Model inputs'!D51),'Model inputs'!C17+'Model inputs'!D51)</f>
        <v>-313.5</v>
      </c>
      <c r="E17" s="15">
        <f>IF(IF(IF(ISERROR('Model inputs'!E61=1),'Model inputs'!E61=1,IF('Model inputs'!E61="","",'Model inputs'!E61=1))="",FALSE,IF(ISERROR('Model inputs'!E61=1),'Model inputs'!E61=1,IF('Model inputs'!E61="","",'Model inputs'!E61=1))),IF('Model inputs'!E51="","",'Model inputs'!E51),'Model inputs'!D17+'Model inputs'!E51)</f>
        <v>-294.5</v>
      </c>
      <c r="F17" s="15">
        <f>IF(IF(IF(ISERROR('Model inputs'!F61=1),'Model inputs'!F61=1,IF('Model inputs'!F61="","",'Model inputs'!F61=1))="",FALSE,IF(ISERROR('Model inputs'!F61=1),'Model inputs'!F61=1,IF('Model inputs'!F61="","",'Model inputs'!F61=1))),IF('Model inputs'!F51="","",'Model inputs'!F51),'Model inputs'!E17+'Model inputs'!F51)</f>
        <v>-275.5</v>
      </c>
      <c r="G17" s="15">
        <f>IF(IF(IF(ISERROR('Model inputs'!G61=1),'Model inputs'!G61=1,IF('Model inputs'!G61="","",'Model inputs'!G61=1))="",FALSE,IF(ISERROR('Model inputs'!G61=1),'Model inputs'!G61=1,IF('Model inputs'!G61="","",'Model inputs'!G61=1))),IF('Model inputs'!G51="","",'Model inputs'!G51),'Model inputs'!F17+'Model inputs'!G51)</f>
        <v>-72.5</v>
      </c>
      <c r="H17" s="15">
        <f>IF(IF(IF(ISERROR('Model inputs'!H61=1),'Model inputs'!H61=1,IF('Model inputs'!H61="","",'Model inputs'!H61=1))="",FALSE,IF(ISERROR('Model inputs'!H61=1),'Model inputs'!H61=1,IF('Model inputs'!H61="","",'Model inputs'!H61=1))),IF('Model inputs'!H51="","",'Model inputs'!H51),'Model inputs'!G17+'Model inputs'!H51)</f>
        <v>130.5</v>
      </c>
      <c r="I17" s="15">
        <f>IF(IF(IF(ISERROR('Model inputs'!I61=1),'Model inputs'!I61=1,IF('Model inputs'!I61="","",'Model inputs'!I61=1))="",FALSE,IF(ISERROR('Model inputs'!I61=1),'Model inputs'!I61=1,IF('Model inputs'!I61="","",'Model inputs'!I61=1))),IF('Model inputs'!I51="","",'Model inputs'!I51),'Model inputs'!H17+'Model inputs'!I51)</f>
        <v>-3482.5</v>
      </c>
      <c r="J17" s="15">
        <f>IF(IF(IF(ISERROR('Model inputs'!J61=1),'Model inputs'!J61=1,IF('Model inputs'!J61="","",'Model inputs'!J61=1))="",FALSE,IF(ISERROR('Model inputs'!J61=1),'Model inputs'!J61=1,IF('Model inputs'!J61="","",'Model inputs'!J61=1))),IF('Model inputs'!J51="","",'Model inputs'!J51),'Model inputs'!I17+'Model inputs'!J51)</f>
        <v>-6911.5</v>
      </c>
      <c r="K17" s="15">
        <f>IF(IF(IF(ISERROR('Model inputs'!K61=1),'Model inputs'!K61=1,IF('Model inputs'!K61="","",'Model inputs'!K61=1))="",FALSE,IF(ISERROR('Model inputs'!K61=1),'Model inputs'!K61=1,IF('Model inputs'!K61="","",'Model inputs'!K61=1))),IF('Model inputs'!K51="","",'Model inputs'!K51),'Model inputs'!J17+'Model inputs'!K51)</f>
        <v>-10156.5</v>
      </c>
      <c r="L17" s="15">
        <f>IF(IF(IF(ISERROR('Model inputs'!L61=1),'Model inputs'!L61=1,IF('Model inputs'!L61="","",'Model inputs'!L61=1))="",FALSE,IF(ISERROR('Model inputs'!L61=1),'Model inputs'!L61=1,IF('Model inputs'!L61="","",'Model inputs'!L61=1))),IF('Model inputs'!L51="","",'Model inputs'!L51),'Model inputs'!K17+'Model inputs'!L51)</f>
        <v>-13033.5</v>
      </c>
      <c r="M17" s="15">
        <f>IF(IF(IF(ISERROR('Model inputs'!M61=1),'Model inputs'!M61=1,IF('Model inputs'!M61="","",'Model inputs'!M61=1))="",FALSE,IF(ISERROR('Model inputs'!M61=1),'Model inputs'!M61=1,IF('Model inputs'!M61="","",'Model inputs'!M61=1))),IF('Model inputs'!M51="","",'Model inputs'!M51),'Model inputs'!L17+'Model inputs'!M51)</f>
        <v>-15542.5</v>
      </c>
      <c r="N17" s="15">
        <f>IF(IF(IF(ISERROR('Model inputs'!N61=1),'Model inputs'!N61=1,IF('Model inputs'!N61="","",'Model inputs'!N61=1))="",FALSE,IF(ISERROR('Model inputs'!N61=1),'Model inputs'!N61=1,IF('Model inputs'!N61="","",'Model inputs'!N61=1))),IF('Model inputs'!N51="","",'Model inputs'!N51),'Model inputs'!M17+'Model inputs'!N51)</f>
        <v>-17499.5</v>
      </c>
    </row>
    <row r="18">
      <c r="A18" t="inlineStr" s="19">
        <is>
          <t xml:space="preserve">Earliest hire month · Main Scenario</t>
        </is>
      </c>
      <c r="O18" s="20">
        <f>'Pricing and operating assumptio'!B16</f>
        <v>10</v>
      </c>
    </row>
    <row r="19">
      <c r="A19" t="inlineStr" s="19">
        <is>
          <t xml:space="preserve">Earliest hire month · Upside</t>
        </is>
      </c>
      <c r="O19" s="20">
        <f>'Pricing and operating assumptio'!B16</f>
        <v>10</v>
      </c>
    </row>
    <row r="20">
      <c r="A20" t="inlineStr" s="19">
        <is>
          <t xml:space="preserve">Earliest hire month · Downside</t>
        </is>
      </c>
      <c r="O20" s="20">
        <f>'Pricing and operating assumptio'!B16</f>
        <v>10</v>
      </c>
    </row>
    <row r="21">
      <c r="A21" t="inlineStr" s="19">
        <is>
          <t xml:space="preserve">Engineer cost · Main Scenario</t>
        </is>
      </c>
      <c r="B21" t="e" s="20">
        <f>'Model inputs'!B24*'Model inputs'!O10</f>
        <v>#VALUE!</v>
      </c>
      <c r="C21" s="20">
        <f>'Model inputs'!C24*'Model inputs'!O10</f>
        <v>0</v>
      </c>
      <c r="D21" s="20">
        <f>'Model inputs'!D24*'Model inputs'!O10</f>
        <v>0</v>
      </c>
      <c r="E21" s="20">
        <f>'Model inputs'!E24*'Model inputs'!O10</f>
        <v>0</v>
      </c>
      <c r="F21" s="20">
        <f>'Model inputs'!F24*'Model inputs'!O10</f>
        <v>0</v>
      </c>
      <c r="G21" s="20">
        <f>'Model inputs'!G24*'Model inputs'!O10</f>
        <v>0</v>
      </c>
      <c r="H21" s="20">
        <f>'Model inputs'!H24*'Model inputs'!O10</f>
        <v>0</v>
      </c>
      <c r="I21" s="20">
        <f>'Model inputs'!I24*'Model inputs'!O10</f>
        <v>0</v>
      </c>
      <c r="J21" s="20">
        <f>'Model inputs'!J24*'Model inputs'!O10</f>
        <v>0</v>
      </c>
      <c r="K21" s="20">
        <f>'Model inputs'!K24*'Model inputs'!O10</f>
        <v>0</v>
      </c>
      <c r="L21" s="20">
        <f>'Model inputs'!L24*'Model inputs'!O10</f>
        <v>0</v>
      </c>
      <c r="M21" s="20">
        <f>'Model inputs'!M24*'Model inputs'!O10</f>
        <v>0</v>
      </c>
      <c r="N21" s="20">
        <f>'Model inputs'!N24*'Model inputs'!O10</f>
        <v>0</v>
      </c>
    </row>
    <row r="22">
      <c r="A22" t="inlineStr" s="19">
        <is>
          <t xml:space="preserve">Engineer cost · Upside</t>
        </is>
      </c>
      <c r="B22" t="e" s="20">
        <f>'Model inputs'!B25*'Model inputs'!O11</f>
        <v>#VALUE!</v>
      </c>
      <c r="C22" s="20">
        <f>'Model inputs'!C25*'Model inputs'!O11</f>
        <v>0</v>
      </c>
      <c r="D22" s="20">
        <f>'Model inputs'!D25*'Model inputs'!O11</f>
        <v>0</v>
      </c>
      <c r="E22" s="20">
        <f>'Model inputs'!E25*'Model inputs'!O11</f>
        <v>0</v>
      </c>
      <c r="F22" s="20">
        <f>'Model inputs'!F25*'Model inputs'!O11</f>
        <v>0</v>
      </c>
      <c r="G22" s="20">
        <f>'Model inputs'!G25*'Model inputs'!O11</f>
        <v>0</v>
      </c>
      <c r="H22" s="20">
        <f>'Model inputs'!H25*'Model inputs'!O11</f>
        <v>0</v>
      </c>
      <c r="I22" s="20">
        <f>'Model inputs'!I25*'Model inputs'!O11</f>
        <v>0</v>
      </c>
      <c r="J22" s="20">
        <f>'Model inputs'!J25*'Model inputs'!O11</f>
        <v>0</v>
      </c>
      <c r="K22" s="20">
        <f>'Model inputs'!K25*'Model inputs'!O11</f>
        <v>0</v>
      </c>
      <c r="L22" s="20">
        <f>'Model inputs'!L25*'Model inputs'!O11</f>
        <v>0</v>
      </c>
      <c r="M22" s="20">
        <f>'Model inputs'!M25*'Model inputs'!O11</f>
        <v>0</v>
      </c>
      <c r="N22" s="20">
        <f>'Model inputs'!N25*'Model inputs'!O11</f>
        <v>6000</v>
      </c>
    </row>
    <row r="23">
      <c r="A23" t="inlineStr" s="19">
        <is>
          <t xml:space="preserve">Engineer cost · Downside</t>
        </is>
      </c>
      <c r="B23" t="e" s="20">
        <f>'Model inputs'!B26*'Model inputs'!O12</f>
        <v>#VALUE!</v>
      </c>
      <c r="C23" s="20">
        <f>'Model inputs'!C26*'Model inputs'!O12</f>
        <v>0</v>
      </c>
      <c r="D23" s="20">
        <f>'Model inputs'!D26*'Model inputs'!O12</f>
        <v>0</v>
      </c>
      <c r="E23" s="20">
        <f>'Model inputs'!E26*'Model inputs'!O12</f>
        <v>0</v>
      </c>
      <c r="F23" s="20">
        <f>'Model inputs'!F26*'Model inputs'!O12</f>
        <v>0</v>
      </c>
      <c r="G23" s="20">
        <f>'Model inputs'!G26*'Model inputs'!O12</f>
        <v>0</v>
      </c>
      <c r="H23" s="20">
        <f>'Model inputs'!H26*'Model inputs'!O12</f>
        <v>0</v>
      </c>
      <c r="I23" s="20">
        <f>'Model inputs'!I26*'Model inputs'!O12</f>
        <v>0</v>
      </c>
      <c r="J23" s="20">
        <f>'Model inputs'!J26*'Model inputs'!O12</f>
        <v>0</v>
      </c>
      <c r="K23" s="20">
        <f>'Model inputs'!K26*'Model inputs'!O12</f>
        <v>0</v>
      </c>
      <c r="L23" s="20">
        <f>'Model inputs'!L26*'Model inputs'!O12</f>
        <v>0</v>
      </c>
      <c r="M23" s="20">
        <f>'Model inputs'!M26*'Model inputs'!O12</f>
        <v>0</v>
      </c>
      <c r="N23" s="20">
        <f>'Model inputs'!N26*'Model inputs'!O12</f>
        <v>0</v>
      </c>
    </row>
    <row r="24">
      <c r="A24" t="inlineStr" s="19">
        <is>
          <t xml:space="preserve">Engineer hired · Main Scenario</t>
        </is>
      </c>
      <c r="B24" t="e" s="8">
        <f>IF(IF(IF(ISERROR('Model inputs'!B59&lt;'Model inputs'!O18),'Model inputs'!B59&lt;'Model inputs'!O18,IF(OR('Model inputs'!B59="",'Model inputs'!O18=""),"",'Model inputs'!B59&lt;'Model inputs'!O18))="",FALSE,IF(ISERROR('Model inputs'!B59&lt;'Model inputs'!O18),'Model inputs'!B59&lt;'Model inputs'!O18,IF(OR('Model inputs'!B59="",'Model inputs'!O18=""),"",'Model inputs'!B59&lt;'Model inputs'!O18))),0,IF(IF(IF(IFERROR(IF(ISERROR('Model inputs'!W73=1),'Model inputs'!W73=1,IF('Model inputs'!W73="","",'Model inputs'!W73=1))=TRUE,FALSE),TRUE,IF(IFERROR('Model inputs'!B222=TRUE,FALSE),TRUE,IF(OR(IF(ISERROR('Model inputs'!W73=1),'Model inputs'!W73=1,IF('Model inputs'!W73="","",'Model inputs'!W73=1))="",'Model inputs'!B222=""),"",OR(IF(ISERROR('Model inputs'!W73=1),'Model inputs'!W73=1,IF('Model inputs'!W73="","",'Model inputs'!W73=1)),'Model inputs'!B222))))="",FALSE,IF(IFERROR(IF(ISERROR('Model inputs'!W73=1),'Model inputs'!W73=1,IF('Model inputs'!W73="","",'Model inputs'!W73=1))=TRUE,FALSE),TRUE,IF(IFERROR('Model inputs'!B222=TRUE,FALSE),TRUE,IF(OR(IF(ISERROR('Model inputs'!W73=1),'Model inputs'!W73=1,IF('Model inputs'!W73="","",'Model inputs'!W73=1))="",'Model inputs'!B222=""),"",OR(IF(ISERROR('Model inputs'!W73=1),'Model inputs'!W73=1,IF('Model inputs'!W73="","",'Model inputs'!W73=1)),'Model inputs'!B222))))),1,0))</f>
        <v>#VALUE!</v>
      </c>
      <c r="C24" s="8">
        <f>IF(IF(IF(ISERROR('Model inputs'!C59&lt;'Model inputs'!O18),'Model inputs'!C59&lt;'Model inputs'!O18,IF(OR('Model inputs'!C59="",'Model inputs'!O18=""),"",'Model inputs'!C59&lt;'Model inputs'!O18))="",FALSE,IF(ISERROR('Model inputs'!C59&lt;'Model inputs'!O18),'Model inputs'!C59&lt;'Model inputs'!O18,IF(OR('Model inputs'!C59="",'Model inputs'!O18=""),"",'Model inputs'!C59&lt;'Model inputs'!O18))),0,IF(IF(IF(IFERROR(IF(ISERROR('Model inputs'!B24=1),'Model inputs'!B24=1,IF('Model inputs'!B24="","",'Model inputs'!B24=1))=TRUE,FALSE),TRUE,IF(IFERROR('Model inputs'!B223=TRUE,FALSE),TRUE,IF(OR(IF(ISERROR('Model inputs'!B24=1),'Model inputs'!B24=1,IF('Model inputs'!B24="","",'Model inputs'!B24=1))="",'Model inputs'!B223=""),"",OR(IF(ISERROR('Model inputs'!B24=1),'Model inputs'!B24=1,IF('Model inputs'!B24="","",'Model inputs'!B24=1)),'Model inputs'!B223))))="",FALSE,IF(IFERROR(IF(ISERROR('Model inputs'!B24=1),'Model inputs'!B24=1,IF('Model inputs'!B24="","",'Model inputs'!B24=1))=TRUE,FALSE),TRUE,IF(IFERROR('Model inputs'!B223=TRUE,FALSE),TRUE,IF(OR(IF(ISERROR('Model inputs'!B24=1),'Model inputs'!B24=1,IF('Model inputs'!B24="","",'Model inputs'!B24=1))="",'Model inputs'!B223=""),"",OR(IF(ISERROR('Model inputs'!B24=1),'Model inputs'!B24=1,IF('Model inputs'!B24="","",'Model inputs'!B24=1)),'Model inputs'!B223))))),1,0))</f>
        <v>0</v>
      </c>
      <c r="D24" s="8">
        <f>IF(IF(IF(ISERROR('Model inputs'!D59&lt;'Model inputs'!O18),'Model inputs'!D59&lt;'Model inputs'!O18,IF(OR('Model inputs'!D59="",'Model inputs'!O18=""),"",'Model inputs'!D59&lt;'Model inputs'!O18))="",FALSE,IF(ISERROR('Model inputs'!D59&lt;'Model inputs'!O18),'Model inputs'!D59&lt;'Model inputs'!O18,IF(OR('Model inputs'!D59="",'Model inputs'!O18=""),"",'Model inputs'!D59&lt;'Model inputs'!O18))),0,IF(IF(IF(IFERROR(IF(ISERROR('Model inputs'!C24=1),'Model inputs'!C24=1,IF('Model inputs'!C24="","",'Model inputs'!C24=1))=TRUE,FALSE),TRUE,IF(IFERROR('Model inputs'!B224=TRUE,FALSE),TRUE,IF(OR(IF(ISERROR('Model inputs'!C24=1),'Model inputs'!C24=1,IF('Model inputs'!C24="","",'Model inputs'!C24=1))="",'Model inputs'!B224=""),"",OR(IF(ISERROR('Model inputs'!C24=1),'Model inputs'!C24=1,IF('Model inputs'!C24="","",'Model inputs'!C24=1)),'Model inputs'!B224))))="",FALSE,IF(IFERROR(IF(ISERROR('Model inputs'!C24=1),'Model inputs'!C24=1,IF('Model inputs'!C24="","",'Model inputs'!C24=1))=TRUE,FALSE),TRUE,IF(IFERROR('Model inputs'!B224=TRUE,FALSE),TRUE,IF(OR(IF(ISERROR('Model inputs'!C24=1),'Model inputs'!C24=1,IF('Model inputs'!C24="","",'Model inputs'!C24=1))="",'Model inputs'!B224=""),"",OR(IF(ISERROR('Model inputs'!C24=1),'Model inputs'!C24=1,IF('Model inputs'!C24="","",'Model inputs'!C24=1)),'Model inputs'!B224))))),1,0))</f>
        <v>0</v>
      </c>
      <c r="E24" s="8">
        <f>IF(IF(IF(ISERROR('Model inputs'!E59&lt;'Model inputs'!O18),'Model inputs'!E59&lt;'Model inputs'!O18,IF(OR('Model inputs'!E59="",'Model inputs'!O18=""),"",'Model inputs'!E59&lt;'Model inputs'!O18))="",FALSE,IF(ISERROR('Model inputs'!E59&lt;'Model inputs'!O18),'Model inputs'!E59&lt;'Model inputs'!O18,IF(OR('Model inputs'!E59="",'Model inputs'!O18=""),"",'Model inputs'!E59&lt;'Model inputs'!O18))),0,IF(IF(IF(IFERROR(IF(ISERROR('Model inputs'!D24=1),'Model inputs'!D24=1,IF('Model inputs'!D24="","",'Model inputs'!D24=1))=TRUE,FALSE),TRUE,IF(IFERROR('Model inputs'!B225=TRUE,FALSE),TRUE,IF(OR(IF(ISERROR('Model inputs'!D24=1),'Model inputs'!D24=1,IF('Model inputs'!D24="","",'Model inputs'!D24=1))="",'Model inputs'!B225=""),"",OR(IF(ISERROR('Model inputs'!D24=1),'Model inputs'!D24=1,IF('Model inputs'!D24="","",'Model inputs'!D24=1)),'Model inputs'!B225))))="",FALSE,IF(IFERROR(IF(ISERROR('Model inputs'!D24=1),'Model inputs'!D24=1,IF('Model inputs'!D24="","",'Model inputs'!D24=1))=TRUE,FALSE),TRUE,IF(IFERROR('Model inputs'!B225=TRUE,FALSE),TRUE,IF(OR(IF(ISERROR('Model inputs'!D24=1),'Model inputs'!D24=1,IF('Model inputs'!D24="","",'Model inputs'!D24=1))="",'Model inputs'!B225=""),"",OR(IF(ISERROR('Model inputs'!D24=1),'Model inputs'!D24=1,IF('Model inputs'!D24="","",'Model inputs'!D24=1)),'Model inputs'!B225))))),1,0))</f>
        <v>0</v>
      </c>
      <c r="F24" s="8">
        <f>IF(IF(IF(ISERROR('Model inputs'!F59&lt;'Model inputs'!O18),'Model inputs'!F59&lt;'Model inputs'!O18,IF(OR('Model inputs'!F59="",'Model inputs'!O18=""),"",'Model inputs'!F59&lt;'Model inputs'!O18))="",FALSE,IF(ISERROR('Model inputs'!F59&lt;'Model inputs'!O18),'Model inputs'!F59&lt;'Model inputs'!O18,IF(OR('Model inputs'!F59="",'Model inputs'!O18=""),"",'Model inputs'!F59&lt;'Model inputs'!O18))),0,IF(IF(IF(IFERROR(IF(ISERROR('Model inputs'!E24=1),'Model inputs'!E24=1,IF('Model inputs'!E24="","",'Model inputs'!E24=1))=TRUE,FALSE),TRUE,IF(IFERROR('Model inputs'!B226=TRUE,FALSE),TRUE,IF(OR(IF(ISERROR('Model inputs'!E24=1),'Model inputs'!E24=1,IF('Model inputs'!E24="","",'Model inputs'!E24=1))="",'Model inputs'!B226=""),"",OR(IF(ISERROR('Model inputs'!E24=1),'Model inputs'!E24=1,IF('Model inputs'!E24="","",'Model inputs'!E24=1)),'Model inputs'!B226))))="",FALSE,IF(IFERROR(IF(ISERROR('Model inputs'!E24=1),'Model inputs'!E24=1,IF('Model inputs'!E24="","",'Model inputs'!E24=1))=TRUE,FALSE),TRUE,IF(IFERROR('Model inputs'!B226=TRUE,FALSE),TRUE,IF(OR(IF(ISERROR('Model inputs'!E24=1),'Model inputs'!E24=1,IF('Model inputs'!E24="","",'Model inputs'!E24=1))="",'Model inputs'!B226=""),"",OR(IF(ISERROR('Model inputs'!E24=1),'Model inputs'!E24=1,IF('Model inputs'!E24="","",'Model inputs'!E24=1)),'Model inputs'!B226))))),1,0))</f>
        <v>0</v>
      </c>
      <c r="G24" s="8">
        <f>IF(IF(IF(ISERROR('Model inputs'!G59&lt;'Model inputs'!O18),'Model inputs'!G59&lt;'Model inputs'!O18,IF(OR('Model inputs'!G59="",'Model inputs'!O18=""),"",'Model inputs'!G59&lt;'Model inputs'!O18))="",FALSE,IF(ISERROR('Model inputs'!G59&lt;'Model inputs'!O18),'Model inputs'!G59&lt;'Model inputs'!O18,IF(OR('Model inputs'!G59="",'Model inputs'!O18=""),"",'Model inputs'!G59&lt;'Model inputs'!O18))),0,IF(IF(IF(IFERROR(IF(ISERROR('Model inputs'!F24=1),'Model inputs'!F24=1,IF('Model inputs'!F24="","",'Model inputs'!F24=1))=TRUE,FALSE),TRUE,IF(IFERROR('Model inputs'!B227=TRUE,FALSE),TRUE,IF(OR(IF(ISERROR('Model inputs'!F24=1),'Model inputs'!F24=1,IF('Model inputs'!F24="","",'Model inputs'!F24=1))="",'Model inputs'!B227=""),"",OR(IF(ISERROR('Model inputs'!F24=1),'Model inputs'!F24=1,IF('Model inputs'!F24="","",'Model inputs'!F24=1)),'Model inputs'!B227))))="",FALSE,IF(IFERROR(IF(ISERROR('Model inputs'!F24=1),'Model inputs'!F24=1,IF('Model inputs'!F24="","",'Model inputs'!F24=1))=TRUE,FALSE),TRUE,IF(IFERROR('Model inputs'!B227=TRUE,FALSE),TRUE,IF(OR(IF(ISERROR('Model inputs'!F24=1),'Model inputs'!F24=1,IF('Model inputs'!F24="","",'Model inputs'!F24=1))="",'Model inputs'!B227=""),"",OR(IF(ISERROR('Model inputs'!F24=1),'Model inputs'!F24=1,IF('Model inputs'!F24="","",'Model inputs'!F24=1)),'Model inputs'!B227))))),1,0))</f>
        <v>0</v>
      </c>
      <c r="H24" s="8">
        <f>IF(IF(IF(ISERROR('Model inputs'!H59&lt;'Model inputs'!O18),'Model inputs'!H59&lt;'Model inputs'!O18,IF(OR('Model inputs'!H59="",'Model inputs'!O18=""),"",'Model inputs'!H59&lt;'Model inputs'!O18))="",FALSE,IF(ISERROR('Model inputs'!H59&lt;'Model inputs'!O18),'Model inputs'!H59&lt;'Model inputs'!O18,IF(OR('Model inputs'!H59="",'Model inputs'!O18=""),"",'Model inputs'!H59&lt;'Model inputs'!O18))),0,IF(IF(IF(IFERROR(IF(ISERROR('Model inputs'!G24=1),'Model inputs'!G24=1,IF('Model inputs'!G24="","",'Model inputs'!G24=1))=TRUE,FALSE),TRUE,IF(IFERROR('Model inputs'!B228=TRUE,FALSE),TRUE,IF(OR(IF(ISERROR('Model inputs'!G24=1),'Model inputs'!G24=1,IF('Model inputs'!G24="","",'Model inputs'!G24=1))="",'Model inputs'!B228=""),"",OR(IF(ISERROR('Model inputs'!G24=1),'Model inputs'!G24=1,IF('Model inputs'!G24="","",'Model inputs'!G24=1)),'Model inputs'!B228))))="",FALSE,IF(IFERROR(IF(ISERROR('Model inputs'!G24=1),'Model inputs'!G24=1,IF('Model inputs'!G24="","",'Model inputs'!G24=1))=TRUE,FALSE),TRUE,IF(IFERROR('Model inputs'!B228=TRUE,FALSE),TRUE,IF(OR(IF(ISERROR('Model inputs'!G24=1),'Model inputs'!G24=1,IF('Model inputs'!G24="","",'Model inputs'!G24=1))="",'Model inputs'!B228=""),"",OR(IF(ISERROR('Model inputs'!G24=1),'Model inputs'!G24=1,IF('Model inputs'!G24="","",'Model inputs'!G24=1)),'Model inputs'!B228))))),1,0))</f>
        <v>0</v>
      </c>
      <c r="I24" s="8">
        <f>IF(IF(IF(ISERROR('Model inputs'!I59&lt;'Model inputs'!O18),'Model inputs'!I59&lt;'Model inputs'!O18,IF(OR('Model inputs'!I59="",'Model inputs'!O18=""),"",'Model inputs'!I59&lt;'Model inputs'!O18))="",FALSE,IF(ISERROR('Model inputs'!I59&lt;'Model inputs'!O18),'Model inputs'!I59&lt;'Model inputs'!O18,IF(OR('Model inputs'!I59="",'Model inputs'!O18=""),"",'Model inputs'!I59&lt;'Model inputs'!O18))),0,IF(IF(IF(IFERROR(IF(ISERROR('Model inputs'!H24=1),'Model inputs'!H24=1,IF('Model inputs'!H24="","",'Model inputs'!H24=1))=TRUE,FALSE),TRUE,IF(IFERROR('Model inputs'!B229=TRUE,FALSE),TRUE,IF(OR(IF(ISERROR('Model inputs'!H24=1),'Model inputs'!H24=1,IF('Model inputs'!H24="","",'Model inputs'!H24=1))="",'Model inputs'!B229=""),"",OR(IF(ISERROR('Model inputs'!H24=1),'Model inputs'!H24=1,IF('Model inputs'!H24="","",'Model inputs'!H24=1)),'Model inputs'!B229))))="",FALSE,IF(IFERROR(IF(ISERROR('Model inputs'!H24=1),'Model inputs'!H24=1,IF('Model inputs'!H24="","",'Model inputs'!H24=1))=TRUE,FALSE),TRUE,IF(IFERROR('Model inputs'!B229=TRUE,FALSE),TRUE,IF(OR(IF(ISERROR('Model inputs'!H24=1),'Model inputs'!H24=1,IF('Model inputs'!H24="","",'Model inputs'!H24=1))="",'Model inputs'!B229=""),"",OR(IF(ISERROR('Model inputs'!H24=1),'Model inputs'!H24=1,IF('Model inputs'!H24="","",'Model inputs'!H24=1)),'Model inputs'!B229))))),1,0))</f>
        <v>0</v>
      </c>
      <c r="J24" s="8">
        <f>IF(IF(IF(ISERROR('Model inputs'!J59&lt;'Model inputs'!O18),'Model inputs'!J59&lt;'Model inputs'!O18,IF(OR('Model inputs'!J59="",'Model inputs'!O18=""),"",'Model inputs'!J59&lt;'Model inputs'!O18))="",FALSE,IF(ISERROR('Model inputs'!J59&lt;'Model inputs'!O18),'Model inputs'!J59&lt;'Model inputs'!O18,IF(OR('Model inputs'!J59="",'Model inputs'!O18=""),"",'Model inputs'!J59&lt;'Model inputs'!O18))),0,IF(IF(IF(IFERROR(IF(ISERROR('Model inputs'!I24=1),'Model inputs'!I24=1,IF('Model inputs'!I24="","",'Model inputs'!I24=1))=TRUE,FALSE),TRUE,IF(IFERROR('Model inputs'!B230=TRUE,FALSE),TRUE,IF(OR(IF(ISERROR('Model inputs'!I24=1),'Model inputs'!I24=1,IF('Model inputs'!I24="","",'Model inputs'!I24=1))="",'Model inputs'!B230=""),"",OR(IF(ISERROR('Model inputs'!I24=1),'Model inputs'!I24=1,IF('Model inputs'!I24="","",'Model inputs'!I24=1)),'Model inputs'!B230))))="",FALSE,IF(IFERROR(IF(ISERROR('Model inputs'!I24=1),'Model inputs'!I24=1,IF('Model inputs'!I24="","",'Model inputs'!I24=1))=TRUE,FALSE),TRUE,IF(IFERROR('Model inputs'!B230=TRUE,FALSE),TRUE,IF(OR(IF(ISERROR('Model inputs'!I24=1),'Model inputs'!I24=1,IF('Model inputs'!I24="","",'Model inputs'!I24=1))="",'Model inputs'!B230=""),"",OR(IF(ISERROR('Model inputs'!I24=1),'Model inputs'!I24=1,IF('Model inputs'!I24="","",'Model inputs'!I24=1)),'Model inputs'!B230))))),1,0))</f>
        <v>0</v>
      </c>
      <c r="K24" s="8">
        <f>IF(IF(IF(ISERROR('Model inputs'!K59&lt;'Model inputs'!O18),'Model inputs'!K59&lt;'Model inputs'!O18,IF(OR('Model inputs'!K59="",'Model inputs'!O18=""),"",'Model inputs'!K59&lt;'Model inputs'!O18))="",FALSE,IF(ISERROR('Model inputs'!K59&lt;'Model inputs'!O18),'Model inputs'!K59&lt;'Model inputs'!O18,IF(OR('Model inputs'!K59="",'Model inputs'!O18=""),"",'Model inputs'!K59&lt;'Model inputs'!O18))),0,IF(IF(IF(IFERROR(IF(ISERROR('Model inputs'!J24=1),'Model inputs'!J24=1,IF('Model inputs'!J24="","",'Model inputs'!J24=1))=TRUE,FALSE),TRUE,IF(IFERROR('Model inputs'!B231=TRUE,FALSE),TRUE,IF(OR(IF(ISERROR('Model inputs'!J24=1),'Model inputs'!J24=1,IF('Model inputs'!J24="","",'Model inputs'!J24=1))="",'Model inputs'!B231=""),"",OR(IF(ISERROR('Model inputs'!J24=1),'Model inputs'!J24=1,IF('Model inputs'!J24="","",'Model inputs'!J24=1)),'Model inputs'!B231))))="",FALSE,IF(IFERROR(IF(ISERROR('Model inputs'!J24=1),'Model inputs'!J24=1,IF('Model inputs'!J24="","",'Model inputs'!J24=1))=TRUE,FALSE),TRUE,IF(IFERROR('Model inputs'!B231=TRUE,FALSE),TRUE,IF(OR(IF(ISERROR('Model inputs'!J24=1),'Model inputs'!J24=1,IF('Model inputs'!J24="","",'Model inputs'!J24=1))="",'Model inputs'!B231=""),"",OR(IF(ISERROR('Model inputs'!J24=1),'Model inputs'!J24=1,IF('Model inputs'!J24="","",'Model inputs'!J24=1)),'Model inputs'!B231))))),1,0))</f>
        <v>0</v>
      </c>
      <c r="L24" s="8">
        <f>IF(IF(IF(ISERROR('Model inputs'!L59&lt;'Model inputs'!O18),'Model inputs'!L59&lt;'Model inputs'!O18,IF(OR('Model inputs'!L59="",'Model inputs'!O18=""),"",'Model inputs'!L59&lt;'Model inputs'!O18))="",FALSE,IF(ISERROR('Model inputs'!L59&lt;'Model inputs'!O18),'Model inputs'!L59&lt;'Model inputs'!O18,IF(OR('Model inputs'!L59="",'Model inputs'!O18=""),"",'Model inputs'!L59&lt;'Model inputs'!O18))),0,IF(IF(IF(IFERROR(IF(ISERROR('Model inputs'!K24=1),'Model inputs'!K24=1,IF('Model inputs'!K24="","",'Model inputs'!K24=1))=TRUE,FALSE),TRUE,IF(IFERROR('Model inputs'!B232=TRUE,FALSE),TRUE,IF(OR(IF(ISERROR('Model inputs'!K24=1),'Model inputs'!K24=1,IF('Model inputs'!K24="","",'Model inputs'!K24=1))="",'Model inputs'!B232=""),"",OR(IF(ISERROR('Model inputs'!K24=1),'Model inputs'!K24=1,IF('Model inputs'!K24="","",'Model inputs'!K24=1)),'Model inputs'!B232))))="",FALSE,IF(IFERROR(IF(ISERROR('Model inputs'!K24=1),'Model inputs'!K24=1,IF('Model inputs'!K24="","",'Model inputs'!K24=1))=TRUE,FALSE),TRUE,IF(IFERROR('Model inputs'!B232=TRUE,FALSE),TRUE,IF(OR(IF(ISERROR('Model inputs'!K24=1),'Model inputs'!K24=1,IF('Model inputs'!K24="","",'Model inputs'!K24=1))="",'Model inputs'!B232=""),"",OR(IF(ISERROR('Model inputs'!K24=1),'Model inputs'!K24=1,IF('Model inputs'!K24="","",'Model inputs'!K24=1)),'Model inputs'!B232))))),1,0))</f>
        <v>0</v>
      </c>
      <c r="M24" s="8">
        <f>IF(IF(IF(ISERROR('Model inputs'!M59&lt;'Model inputs'!O18),'Model inputs'!M59&lt;'Model inputs'!O18,IF(OR('Model inputs'!M59="",'Model inputs'!O18=""),"",'Model inputs'!M59&lt;'Model inputs'!O18))="",FALSE,IF(ISERROR('Model inputs'!M59&lt;'Model inputs'!O18),'Model inputs'!M59&lt;'Model inputs'!O18,IF(OR('Model inputs'!M59="",'Model inputs'!O18=""),"",'Model inputs'!M59&lt;'Model inputs'!O18))),0,IF(IF(IF(IFERROR(IF(ISERROR('Model inputs'!L24=1),'Model inputs'!L24=1,IF('Model inputs'!L24="","",'Model inputs'!L24=1))=TRUE,FALSE),TRUE,IF(IFERROR('Model inputs'!B233=TRUE,FALSE),TRUE,IF(OR(IF(ISERROR('Model inputs'!L24=1),'Model inputs'!L24=1,IF('Model inputs'!L24="","",'Model inputs'!L24=1))="",'Model inputs'!B233=""),"",OR(IF(ISERROR('Model inputs'!L24=1),'Model inputs'!L24=1,IF('Model inputs'!L24="","",'Model inputs'!L24=1)),'Model inputs'!B233))))="",FALSE,IF(IFERROR(IF(ISERROR('Model inputs'!L24=1),'Model inputs'!L24=1,IF('Model inputs'!L24="","",'Model inputs'!L24=1))=TRUE,FALSE),TRUE,IF(IFERROR('Model inputs'!B233=TRUE,FALSE),TRUE,IF(OR(IF(ISERROR('Model inputs'!L24=1),'Model inputs'!L24=1,IF('Model inputs'!L24="","",'Model inputs'!L24=1))="",'Model inputs'!B233=""),"",OR(IF(ISERROR('Model inputs'!L24=1),'Model inputs'!L24=1,IF('Model inputs'!L24="","",'Model inputs'!L24=1)),'Model inputs'!B233))))),1,0))</f>
        <v>0</v>
      </c>
      <c r="N24" s="8">
        <f>IF(IF(IF(ISERROR('Model inputs'!N59&lt;'Model inputs'!O18),'Model inputs'!N59&lt;'Model inputs'!O18,IF(OR('Model inputs'!N59="",'Model inputs'!O18=""),"",'Model inputs'!N59&lt;'Model inputs'!O18))="",FALSE,IF(ISERROR('Model inputs'!N59&lt;'Model inputs'!O18),'Model inputs'!N59&lt;'Model inputs'!O18,IF(OR('Model inputs'!N59="",'Model inputs'!O18=""),"",'Model inputs'!N59&lt;'Model inputs'!O18))),0,IF(IF(IF(IFERROR(IF(ISERROR('Model inputs'!M24=1),'Model inputs'!M24=1,IF('Model inputs'!M24="","",'Model inputs'!M24=1))=TRUE,FALSE),TRUE,IF(IFERROR('Model inputs'!B234=TRUE,FALSE),TRUE,IF(OR(IF(ISERROR('Model inputs'!M24=1),'Model inputs'!M24=1,IF('Model inputs'!M24="","",'Model inputs'!M24=1))="",'Model inputs'!B234=""),"",OR(IF(ISERROR('Model inputs'!M24=1),'Model inputs'!M24=1,IF('Model inputs'!M24="","",'Model inputs'!M24=1)),'Model inputs'!B234))))="",FALSE,IF(IFERROR(IF(ISERROR('Model inputs'!M24=1),'Model inputs'!M24=1,IF('Model inputs'!M24="","",'Model inputs'!M24=1))=TRUE,FALSE),TRUE,IF(IFERROR('Model inputs'!B234=TRUE,FALSE),TRUE,IF(OR(IF(ISERROR('Model inputs'!M24=1),'Model inputs'!M24=1,IF('Model inputs'!M24="","",'Model inputs'!M24=1))="",'Model inputs'!B234=""),"",OR(IF(ISERROR('Model inputs'!M24=1),'Model inputs'!M24=1,IF('Model inputs'!M24="","",'Model inputs'!M24=1)),'Model inputs'!B234))))),1,0))</f>
        <v>0</v>
      </c>
    </row>
    <row r="25">
      <c r="A25" t="inlineStr" s="19">
        <is>
          <t xml:space="preserve">Engineer hired · Upside</t>
        </is>
      </c>
      <c r="B25" t="e" s="8">
        <f>IF(IF(IF(ISERROR('Model inputs'!B60&lt;'Model inputs'!O19),'Model inputs'!B60&lt;'Model inputs'!O19,IF(OR('Model inputs'!B60="",'Model inputs'!O19=""),"",'Model inputs'!B60&lt;'Model inputs'!O19))="",FALSE,IF(ISERROR('Model inputs'!B60&lt;'Model inputs'!O19),'Model inputs'!B60&lt;'Model inputs'!O19,IF(OR('Model inputs'!B60="",'Model inputs'!O19=""),"",'Model inputs'!B60&lt;'Model inputs'!O19))),0,IF(IF(IF(IFERROR(IF(ISERROR('Model inputs'!W74=1),'Model inputs'!W74=1,IF('Model inputs'!W74="","",'Model inputs'!W74=1))=TRUE,FALSE),TRUE,IF(IFERROR('Model inputs'!B235=TRUE,FALSE),TRUE,IF(OR(IF(ISERROR('Model inputs'!W74=1),'Model inputs'!W74=1,IF('Model inputs'!W74="","",'Model inputs'!W74=1))="",'Model inputs'!B235=""),"",OR(IF(ISERROR('Model inputs'!W74=1),'Model inputs'!W74=1,IF('Model inputs'!W74="","",'Model inputs'!W74=1)),'Model inputs'!B235))))="",FALSE,IF(IFERROR(IF(ISERROR('Model inputs'!W74=1),'Model inputs'!W74=1,IF('Model inputs'!W74="","",'Model inputs'!W74=1))=TRUE,FALSE),TRUE,IF(IFERROR('Model inputs'!B235=TRUE,FALSE),TRUE,IF(OR(IF(ISERROR('Model inputs'!W74=1),'Model inputs'!W74=1,IF('Model inputs'!W74="","",'Model inputs'!W74=1))="",'Model inputs'!B235=""),"",OR(IF(ISERROR('Model inputs'!W74=1),'Model inputs'!W74=1,IF('Model inputs'!W74="","",'Model inputs'!W74=1)),'Model inputs'!B235))))),1,0))</f>
        <v>#VALUE!</v>
      </c>
      <c r="C25" s="8">
        <f>IF(IF(IF(ISERROR('Model inputs'!C60&lt;'Model inputs'!O19),'Model inputs'!C60&lt;'Model inputs'!O19,IF(OR('Model inputs'!C60="",'Model inputs'!O19=""),"",'Model inputs'!C60&lt;'Model inputs'!O19))="",FALSE,IF(ISERROR('Model inputs'!C60&lt;'Model inputs'!O19),'Model inputs'!C60&lt;'Model inputs'!O19,IF(OR('Model inputs'!C60="",'Model inputs'!O19=""),"",'Model inputs'!C60&lt;'Model inputs'!O19))),0,IF(IF(IF(IFERROR(IF(ISERROR('Model inputs'!B25=1),'Model inputs'!B25=1,IF('Model inputs'!B25="","",'Model inputs'!B25=1))=TRUE,FALSE),TRUE,IF(IFERROR('Model inputs'!B190=TRUE,FALSE),TRUE,IF(OR(IF(ISERROR('Model inputs'!B25=1),'Model inputs'!B25=1,IF('Model inputs'!B25="","",'Model inputs'!B25=1))="",'Model inputs'!B190=""),"",OR(IF(ISERROR('Model inputs'!B25=1),'Model inputs'!B25=1,IF('Model inputs'!B25="","",'Model inputs'!B25=1)),'Model inputs'!B190))))="",FALSE,IF(IFERROR(IF(ISERROR('Model inputs'!B25=1),'Model inputs'!B25=1,IF('Model inputs'!B25="","",'Model inputs'!B25=1))=TRUE,FALSE),TRUE,IF(IFERROR('Model inputs'!B190=TRUE,FALSE),TRUE,IF(OR(IF(ISERROR('Model inputs'!B25=1),'Model inputs'!B25=1,IF('Model inputs'!B25="","",'Model inputs'!B25=1))="",'Model inputs'!B190=""),"",OR(IF(ISERROR('Model inputs'!B25=1),'Model inputs'!B25=1,IF('Model inputs'!B25="","",'Model inputs'!B25=1)),'Model inputs'!B190))))),1,0))</f>
        <v>0</v>
      </c>
      <c r="D25" s="8">
        <f>IF(IF(IF(ISERROR('Model inputs'!D60&lt;'Model inputs'!O19),'Model inputs'!D60&lt;'Model inputs'!O19,IF(OR('Model inputs'!D60="",'Model inputs'!O19=""),"",'Model inputs'!D60&lt;'Model inputs'!O19))="",FALSE,IF(ISERROR('Model inputs'!D60&lt;'Model inputs'!O19),'Model inputs'!D60&lt;'Model inputs'!O19,IF(OR('Model inputs'!D60="",'Model inputs'!O19=""),"",'Model inputs'!D60&lt;'Model inputs'!O19))),0,IF(IF(IF(IFERROR(IF(ISERROR('Model inputs'!C25=1),'Model inputs'!C25=1,IF('Model inputs'!C25="","",'Model inputs'!C25=1))=TRUE,FALSE),TRUE,IF(IFERROR('Model inputs'!B192=TRUE,FALSE),TRUE,IF(OR(IF(ISERROR('Model inputs'!C25=1),'Model inputs'!C25=1,IF('Model inputs'!C25="","",'Model inputs'!C25=1))="",'Model inputs'!B192=""),"",OR(IF(ISERROR('Model inputs'!C25=1),'Model inputs'!C25=1,IF('Model inputs'!C25="","",'Model inputs'!C25=1)),'Model inputs'!B192))))="",FALSE,IF(IFERROR(IF(ISERROR('Model inputs'!C25=1),'Model inputs'!C25=1,IF('Model inputs'!C25="","",'Model inputs'!C25=1))=TRUE,FALSE),TRUE,IF(IFERROR('Model inputs'!B192=TRUE,FALSE),TRUE,IF(OR(IF(ISERROR('Model inputs'!C25=1),'Model inputs'!C25=1,IF('Model inputs'!C25="","",'Model inputs'!C25=1))="",'Model inputs'!B192=""),"",OR(IF(ISERROR('Model inputs'!C25=1),'Model inputs'!C25=1,IF('Model inputs'!C25="","",'Model inputs'!C25=1)),'Model inputs'!B192))))),1,0))</f>
        <v>0</v>
      </c>
      <c r="E25" s="8">
        <f>IF(IF(IF(ISERROR('Model inputs'!E60&lt;'Model inputs'!O19),'Model inputs'!E60&lt;'Model inputs'!O19,IF(OR('Model inputs'!E60="",'Model inputs'!O19=""),"",'Model inputs'!E60&lt;'Model inputs'!O19))="",FALSE,IF(ISERROR('Model inputs'!E60&lt;'Model inputs'!O19),'Model inputs'!E60&lt;'Model inputs'!O19,IF(OR('Model inputs'!E60="",'Model inputs'!O19=""),"",'Model inputs'!E60&lt;'Model inputs'!O19))),0,IF(IF(IF(IFERROR(IF(ISERROR('Model inputs'!D25=1),'Model inputs'!D25=1,IF('Model inputs'!D25="","",'Model inputs'!D25=1))=TRUE,FALSE),TRUE,IF(IFERROR('Model inputs'!B194=TRUE,FALSE),TRUE,IF(OR(IF(ISERROR('Model inputs'!D25=1),'Model inputs'!D25=1,IF('Model inputs'!D25="","",'Model inputs'!D25=1))="",'Model inputs'!B194=""),"",OR(IF(ISERROR('Model inputs'!D25=1),'Model inputs'!D25=1,IF('Model inputs'!D25="","",'Model inputs'!D25=1)),'Model inputs'!B194))))="",FALSE,IF(IFERROR(IF(ISERROR('Model inputs'!D25=1),'Model inputs'!D25=1,IF('Model inputs'!D25="","",'Model inputs'!D25=1))=TRUE,FALSE),TRUE,IF(IFERROR('Model inputs'!B194=TRUE,FALSE),TRUE,IF(OR(IF(ISERROR('Model inputs'!D25=1),'Model inputs'!D25=1,IF('Model inputs'!D25="","",'Model inputs'!D25=1))="",'Model inputs'!B194=""),"",OR(IF(ISERROR('Model inputs'!D25=1),'Model inputs'!D25=1,IF('Model inputs'!D25="","",'Model inputs'!D25=1)),'Model inputs'!B194))))),1,0))</f>
        <v>0</v>
      </c>
      <c r="F25" s="8">
        <f>IF(IF(IF(ISERROR('Model inputs'!F60&lt;'Model inputs'!O19),'Model inputs'!F60&lt;'Model inputs'!O19,IF(OR('Model inputs'!F60="",'Model inputs'!O19=""),"",'Model inputs'!F60&lt;'Model inputs'!O19))="",FALSE,IF(ISERROR('Model inputs'!F60&lt;'Model inputs'!O19),'Model inputs'!F60&lt;'Model inputs'!O19,IF(OR('Model inputs'!F60="",'Model inputs'!O19=""),"",'Model inputs'!F60&lt;'Model inputs'!O19))),0,IF(IF(IF(IFERROR(IF(ISERROR('Model inputs'!E25=1),'Model inputs'!E25=1,IF('Model inputs'!E25="","",'Model inputs'!E25=1))=TRUE,FALSE),TRUE,IF(IFERROR('Model inputs'!B196=TRUE,FALSE),TRUE,IF(OR(IF(ISERROR('Model inputs'!E25=1),'Model inputs'!E25=1,IF('Model inputs'!E25="","",'Model inputs'!E25=1))="",'Model inputs'!B196=""),"",OR(IF(ISERROR('Model inputs'!E25=1),'Model inputs'!E25=1,IF('Model inputs'!E25="","",'Model inputs'!E25=1)),'Model inputs'!B196))))="",FALSE,IF(IFERROR(IF(ISERROR('Model inputs'!E25=1),'Model inputs'!E25=1,IF('Model inputs'!E25="","",'Model inputs'!E25=1))=TRUE,FALSE),TRUE,IF(IFERROR('Model inputs'!B196=TRUE,FALSE),TRUE,IF(OR(IF(ISERROR('Model inputs'!E25=1),'Model inputs'!E25=1,IF('Model inputs'!E25="","",'Model inputs'!E25=1))="",'Model inputs'!B196=""),"",OR(IF(ISERROR('Model inputs'!E25=1),'Model inputs'!E25=1,IF('Model inputs'!E25="","",'Model inputs'!E25=1)),'Model inputs'!B196))))),1,0))</f>
        <v>0</v>
      </c>
      <c r="G25" s="8">
        <f>IF(IF(IF(ISERROR('Model inputs'!G60&lt;'Model inputs'!O19),'Model inputs'!G60&lt;'Model inputs'!O19,IF(OR('Model inputs'!G60="",'Model inputs'!O19=""),"",'Model inputs'!G60&lt;'Model inputs'!O19))="",FALSE,IF(ISERROR('Model inputs'!G60&lt;'Model inputs'!O19),'Model inputs'!G60&lt;'Model inputs'!O19,IF(OR('Model inputs'!G60="",'Model inputs'!O19=""),"",'Model inputs'!G60&lt;'Model inputs'!O19))),0,IF(IF(IF(IFERROR(IF(ISERROR('Model inputs'!F25=1),'Model inputs'!F25=1,IF('Model inputs'!F25="","",'Model inputs'!F25=1))=TRUE,FALSE),TRUE,IF(IFERROR('Model inputs'!B198=TRUE,FALSE),TRUE,IF(OR(IF(ISERROR('Model inputs'!F25=1),'Model inputs'!F25=1,IF('Model inputs'!F25="","",'Model inputs'!F25=1))="",'Model inputs'!B198=""),"",OR(IF(ISERROR('Model inputs'!F25=1),'Model inputs'!F25=1,IF('Model inputs'!F25="","",'Model inputs'!F25=1)),'Model inputs'!B198))))="",FALSE,IF(IFERROR(IF(ISERROR('Model inputs'!F25=1),'Model inputs'!F25=1,IF('Model inputs'!F25="","",'Model inputs'!F25=1))=TRUE,FALSE),TRUE,IF(IFERROR('Model inputs'!B198=TRUE,FALSE),TRUE,IF(OR(IF(ISERROR('Model inputs'!F25=1),'Model inputs'!F25=1,IF('Model inputs'!F25="","",'Model inputs'!F25=1))="",'Model inputs'!B198=""),"",OR(IF(ISERROR('Model inputs'!F25=1),'Model inputs'!F25=1,IF('Model inputs'!F25="","",'Model inputs'!F25=1)),'Model inputs'!B198))))),1,0))</f>
        <v>0</v>
      </c>
      <c r="H25" s="8">
        <f>IF(IF(IF(ISERROR('Model inputs'!H60&lt;'Model inputs'!O19),'Model inputs'!H60&lt;'Model inputs'!O19,IF(OR('Model inputs'!H60="",'Model inputs'!O19=""),"",'Model inputs'!H60&lt;'Model inputs'!O19))="",FALSE,IF(ISERROR('Model inputs'!H60&lt;'Model inputs'!O19),'Model inputs'!H60&lt;'Model inputs'!O19,IF(OR('Model inputs'!H60="",'Model inputs'!O19=""),"",'Model inputs'!H60&lt;'Model inputs'!O19))),0,IF(IF(IF(IFERROR(IF(ISERROR('Model inputs'!G25=1),'Model inputs'!G25=1,IF('Model inputs'!G25="","",'Model inputs'!G25=1))=TRUE,FALSE),TRUE,IF(IFERROR('Model inputs'!B200=TRUE,FALSE),TRUE,IF(OR(IF(ISERROR('Model inputs'!G25=1),'Model inputs'!G25=1,IF('Model inputs'!G25="","",'Model inputs'!G25=1))="",'Model inputs'!B200=""),"",OR(IF(ISERROR('Model inputs'!G25=1),'Model inputs'!G25=1,IF('Model inputs'!G25="","",'Model inputs'!G25=1)),'Model inputs'!B200))))="",FALSE,IF(IFERROR(IF(ISERROR('Model inputs'!G25=1),'Model inputs'!G25=1,IF('Model inputs'!G25="","",'Model inputs'!G25=1))=TRUE,FALSE),TRUE,IF(IFERROR('Model inputs'!B200=TRUE,FALSE),TRUE,IF(OR(IF(ISERROR('Model inputs'!G25=1),'Model inputs'!G25=1,IF('Model inputs'!G25="","",'Model inputs'!G25=1))="",'Model inputs'!B200=""),"",OR(IF(ISERROR('Model inputs'!G25=1),'Model inputs'!G25=1,IF('Model inputs'!G25="","",'Model inputs'!G25=1)),'Model inputs'!B200))))),1,0))</f>
        <v>0</v>
      </c>
      <c r="I25" s="8">
        <f>IF(IF(IF(ISERROR('Model inputs'!I60&lt;'Model inputs'!O19),'Model inputs'!I60&lt;'Model inputs'!O19,IF(OR('Model inputs'!I60="",'Model inputs'!O19=""),"",'Model inputs'!I60&lt;'Model inputs'!O19))="",FALSE,IF(ISERROR('Model inputs'!I60&lt;'Model inputs'!O19),'Model inputs'!I60&lt;'Model inputs'!O19,IF(OR('Model inputs'!I60="",'Model inputs'!O19=""),"",'Model inputs'!I60&lt;'Model inputs'!O19))),0,IF(IF(IF(IFERROR(IF(ISERROR('Model inputs'!H25=1),'Model inputs'!H25=1,IF('Model inputs'!H25="","",'Model inputs'!H25=1))=TRUE,FALSE),TRUE,IF(IFERROR('Model inputs'!B202=TRUE,FALSE),TRUE,IF(OR(IF(ISERROR('Model inputs'!H25=1),'Model inputs'!H25=1,IF('Model inputs'!H25="","",'Model inputs'!H25=1))="",'Model inputs'!B202=""),"",OR(IF(ISERROR('Model inputs'!H25=1),'Model inputs'!H25=1,IF('Model inputs'!H25="","",'Model inputs'!H25=1)),'Model inputs'!B202))))="",FALSE,IF(IFERROR(IF(ISERROR('Model inputs'!H25=1),'Model inputs'!H25=1,IF('Model inputs'!H25="","",'Model inputs'!H25=1))=TRUE,FALSE),TRUE,IF(IFERROR('Model inputs'!B202=TRUE,FALSE),TRUE,IF(OR(IF(ISERROR('Model inputs'!H25=1),'Model inputs'!H25=1,IF('Model inputs'!H25="","",'Model inputs'!H25=1))="",'Model inputs'!B202=""),"",OR(IF(ISERROR('Model inputs'!H25=1),'Model inputs'!H25=1,IF('Model inputs'!H25="","",'Model inputs'!H25=1)),'Model inputs'!B202))))),1,0))</f>
        <v>0</v>
      </c>
      <c r="J25" s="8">
        <f>IF(IF(IF(ISERROR('Model inputs'!J60&lt;'Model inputs'!O19),'Model inputs'!J60&lt;'Model inputs'!O19,IF(OR('Model inputs'!J60="",'Model inputs'!O19=""),"",'Model inputs'!J60&lt;'Model inputs'!O19))="",FALSE,IF(ISERROR('Model inputs'!J60&lt;'Model inputs'!O19),'Model inputs'!J60&lt;'Model inputs'!O19,IF(OR('Model inputs'!J60="",'Model inputs'!O19=""),"",'Model inputs'!J60&lt;'Model inputs'!O19))),0,IF(IF(IF(IFERROR(IF(ISERROR('Model inputs'!I25=1),'Model inputs'!I25=1,IF('Model inputs'!I25="","",'Model inputs'!I25=1))=TRUE,FALSE),TRUE,IF(IFERROR('Model inputs'!B204=TRUE,FALSE),TRUE,IF(OR(IF(ISERROR('Model inputs'!I25=1),'Model inputs'!I25=1,IF('Model inputs'!I25="","",'Model inputs'!I25=1))="",'Model inputs'!B204=""),"",OR(IF(ISERROR('Model inputs'!I25=1),'Model inputs'!I25=1,IF('Model inputs'!I25="","",'Model inputs'!I25=1)),'Model inputs'!B204))))="",FALSE,IF(IFERROR(IF(ISERROR('Model inputs'!I25=1),'Model inputs'!I25=1,IF('Model inputs'!I25="","",'Model inputs'!I25=1))=TRUE,FALSE),TRUE,IF(IFERROR('Model inputs'!B204=TRUE,FALSE),TRUE,IF(OR(IF(ISERROR('Model inputs'!I25=1),'Model inputs'!I25=1,IF('Model inputs'!I25="","",'Model inputs'!I25=1))="",'Model inputs'!B204=""),"",OR(IF(ISERROR('Model inputs'!I25=1),'Model inputs'!I25=1,IF('Model inputs'!I25="","",'Model inputs'!I25=1)),'Model inputs'!B204))))),1,0))</f>
        <v>0</v>
      </c>
      <c r="K25" s="8">
        <f>IF(IF(IF(ISERROR('Model inputs'!K60&lt;'Model inputs'!O19),'Model inputs'!K60&lt;'Model inputs'!O19,IF(OR('Model inputs'!K60="",'Model inputs'!O19=""),"",'Model inputs'!K60&lt;'Model inputs'!O19))="",FALSE,IF(ISERROR('Model inputs'!K60&lt;'Model inputs'!O19),'Model inputs'!K60&lt;'Model inputs'!O19,IF(OR('Model inputs'!K60="",'Model inputs'!O19=""),"",'Model inputs'!K60&lt;'Model inputs'!O19))),0,IF(IF(IF(IFERROR(IF(ISERROR('Model inputs'!J25=1),'Model inputs'!J25=1,IF('Model inputs'!J25="","",'Model inputs'!J25=1))=TRUE,FALSE),TRUE,IF(IFERROR('Model inputs'!B206=TRUE,FALSE),TRUE,IF(OR(IF(ISERROR('Model inputs'!J25=1),'Model inputs'!J25=1,IF('Model inputs'!J25="","",'Model inputs'!J25=1))="",'Model inputs'!B206=""),"",OR(IF(ISERROR('Model inputs'!J25=1),'Model inputs'!J25=1,IF('Model inputs'!J25="","",'Model inputs'!J25=1)),'Model inputs'!B206))))="",FALSE,IF(IFERROR(IF(ISERROR('Model inputs'!J25=1),'Model inputs'!J25=1,IF('Model inputs'!J25="","",'Model inputs'!J25=1))=TRUE,FALSE),TRUE,IF(IFERROR('Model inputs'!B206=TRUE,FALSE),TRUE,IF(OR(IF(ISERROR('Model inputs'!J25=1),'Model inputs'!J25=1,IF('Model inputs'!J25="","",'Model inputs'!J25=1))="",'Model inputs'!B206=""),"",OR(IF(ISERROR('Model inputs'!J25=1),'Model inputs'!J25=1,IF('Model inputs'!J25="","",'Model inputs'!J25=1)),'Model inputs'!B206))))),1,0))</f>
        <v>0</v>
      </c>
      <c r="L25" s="8">
        <f>IF(IF(IF(ISERROR('Model inputs'!L60&lt;'Model inputs'!O19),'Model inputs'!L60&lt;'Model inputs'!O19,IF(OR('Model inputs'!L60="",'Model inputs'!O19=""),"",'Model inputs'!L60&lt;'Model inputs'!O19))="",FALSE,IF(ISERROR('Model inputs'!L60&lt;'Model inputs'!O19),'Model inputs'!L60&lt;'Model inputs'!O19,IF(OR('Model inputs'!L60="",'Model inputs'!O19=""),"",'Model inputs'!L60&lt;'Model inputs'!O19))),0,IF(IF(IF(IFERROR(IF(ISERROR('Model inputs'!K25=1),'Model inputs'!K25=1,IF('Model inputs'!K25="","",'Model inputs'!K25=1))=TRUE,FALSE),TRUE,IF(IFERROR('Model inputs'!B209=TRUE,FALSE),TRUE,IF(OR(IF(ISERROR('Model inputs'!K25=1),'Model inputs'!K25=1,IF('Model inputs'!K25="","",'Model inputs'!K25=1))="",'Model inputs'!B209=""),"",OR(IF(ISERROR('Model inputs'!K25=1),'Model inputs'!K25=1,IF('Model inputs'!K25="","",'Model inputs'!K25=1)),'Model inputs'!B209))))="",FALSE,IF(IFERROR(IF(ISERROR('Model inputs'!K25=1),'Model inputs'!K25=1,IF('Model inputs'!K25="","",'Model inputs'!K25=1))=TRUE,FALSE),TRUE,IF(IFERROR('Model inputs'!B209=TRUE,FALSE),TRUE,IF(OR(IF(ISERROR('Model inputs'!K25=1),'Model inputs'!K25=1,IF('Model inputs'!K25="","",'Model inputs'!K25=1))="",'Model inputs'!B209=""),"",OR(IF(ISERROR('Model inputs'!K25=1),'Model inputs'!K25=1,IF('Model inputs'!K25="","",'Model inputs'!K25=1)),'Model inputs'!B209))))),1,0))</f>
        <v>0</v>
      </c>
      <c r="M25" s="8">
        <f>IF(IF(IF(ISERROR('Model inputs'!M60&lt;'Model inputs'!O19),'Model inputs'!M60&lt;'Model inputs'!O19,IF(OR('Model inputs'!M60="",'Model inputs'!O19=""),"",'Model inputs'!M60&lt;'Model inputs'!O19))="",FALSE,IF(ISERROR('Model inputs'!M60&lt;'Model inputs'!O19),'Model inputs'!M60&lt;'Model inputs'!O19,IF(OR('Model inputs'!M60="",'Model inputs'!O19=""),"",'Model inputs'!M60&lt;'Model inputs'!O19))),0,IF(IF(IF(IFERROR(IF(ISERROR('Model inputs'!L25=1),'Model inputs'!L25=1,IF('Model inputs'!L25="","",'Model inputs'!L25=1))=TRUE,FALSE),TRUE,IF(IFERROR('Model inputs'!B214=TRUE,FALSE),TRUE,IF(OR(IF(ISERROR('Model inputs'!L25=1),'Model inputs'!L25=1,IF('Model inputs'!L25="","",'Model inputs'!L25=1))="",'Model inputs'!B214=""),"",OR(IF(ISERROR('Model inputs'!L25=1),'Model inputs'!L25=1,IF('Model inputs'!L25="","",'Model inputs'!L25=1)),'Model inputs'!B214))))="",FALSE,IF(IFERROR(IF(ISERROR('Model inputs'!L25=1),'Model inputs'!L25=1,IF('Model inputs'!L25="","",'Model inputs'!L25=1))=TRUE,FALSE),TRUE,IF(IFERROR('Model inputs'!B214=TRUE,FALSE),TRUE,IF(OR(IF(ISERROR('Model inputs'!L25=1),'Model inputs'!L25=1,IF('Model inputs'!L25="","",'Model inputs'!L25=1))="",'Model inputs'!B214=""),"",OR(IF(ISERROR('Model inputs'!L25=1),'Model inputs'!L25=1,IF('Model inputs'!L25="","",'Model inputs'!L25=1)),'Model inputs'!B214))))),1,0))</f>
        <v>0</v>
      </c>
      <c r="N25" s="8">
        <f>IF(IF(IF(ISERROR('Model inputs'!N60&lt;'Model inputs'!O19),'Model inputs'!N60&lt;'Model inputs'!O19,IF(OR('Model inputs'!N60="",'Model inputs'!O19=""),"",'Model inputs'!N60&lt;'Model inputs'!O19))="",FALSE,IF(ISERROR('Model inputs'!N60&lt;'Model inputs'!O19),'Model inputs'!N60&lt;'Model inputs'!O19,IF(OR('Model inputs'!N60="",'Model inputs'!O19=""),"",'Model inputs'!N60&lt;'Model inputs'!O19))),0,IF(IF(IF(IFERROR(IF(ISERROR('Model inputs'!M25=1),'Model inputs'!M25=1,IF('Model inputs'!M25="","",'Model inputs'!M25=1))=TRUE,FALSE),TRUE,IF(IFERROR('Model inputs'!B219=TRUE,FALSE),TRUE,IF(OR(IF(ISERROR('Model inputs'!M25=1),'Model inputs'!M25=1,IF('Model inputs'!M25="","",'Model inputs'!M25=1))="",'Model inputs'!B219=""),"",OR(IF(ISERROR('Model inputs'!M25=1),'Model inputs'!M25=1,IF('Model inputs'!M25="","",'Model inputs'!M25=1)),'Model inputs'!B219))))="",FALSE,IF(IFERROR(IF(ISERROR('Model inputs'!M25=1),'Model inputs'!M25=1,IF('Model inputs'!M25="","",'Model inputs'!M25=1))=TRUE,FALSE),TRUE,IF(IFERROR('Model inputs'!B219=TRUE,FALSE),TRUE,IF(OR(IF(ISERROR('Model inputs'!M25=1),'Model inputs'!M25=1,IF('Model inputs'!M25="","",'Model inputs'!M25=1))="",'Model inputs'!B219=""),"",OR(IF(ISERROR('Model inputs'!M25=1),'Model inputs'!M25=1,IF('Model inputs'!M25="","",'Model inputs'!M25=1)),'Model inputs'!B219))))),1,0))</f>
        <v>1</v>
      </c>
    </row>
    <row r="26">
      <c r="A26" t="inlineStr" s="19">
        <is>
          <t xml:space="preserve">Engineer hired · Downside</t>
        </is>
      </c>
      <c r="B26" t="e" s="8">
        <f>IF(IF(IF(ISERROR('Model inputs'!B61&lt;'Model inputs'!O20),'Model inputs'!B61&lt;'Model inputs'!O20,IF(OR('Model inputs'!B61="",'Model inputs'!O20=""),"",'Model inputs'!B61&lt;'Model inputs'!O20))="",FALSE,IF(ISERROR('Model inputs'!B61&lt;'Model inputs'!O20),'Model inputs'!B61&lt;'Model inputs'!O20,IF(OR('Model inputs'!B61="",'Model inputs'!O20=""),"",'Model inputs'!B61&lt;'Model inputs'!O20))),0,IF(IF(IF(IFERROR(IF(ISERROR('Model inputs'!W75=1),'Model inputs'!W75=1,IF('Model inputs'!W75="","",'Model inputs'!W75=1))=TRUE,FALSE),TRUE,IF(IFERROR('Model inputs'!B236=TRUE,FALSE),TRUE,IF(OR(IF(ISERROR('Model inputs'!W75=1),'Model inputs'!W75=1,IF('Model inputs'!W75="","",'Model inputs'!W75=1))="",'Model inputs'!B236=""),"",OR(IF(ISERROR('Model inputs'!W75=1),'Model inputs'!W75=1,IF('Model inputs'!W75="","",'Model inputs'!W75=1)),'Model inputs'!B236))))="",FALSE,IF(IFERROR(IF(ISERROR('Model inputs'!W75=1),'Model inputs'!W75=1,IF('Model inputs'!W75="","",'Model inputs'!W75=1))=TRUE,FALSE),TRUE,IF(IFERROR('Model inputs'!B236=TRUE,FALSE),TRUE,IF(OR(IF(ISERROR('Model inputs'!W75=1),'Model inputs'!W75=1,IF('Model inputs'!W75="","",'Model inputs'!W75=1))="",'Model inputs'!B236=""),"",OR(IF(ISERROR('Model inputs'!W75=1),'Model inputs'!W75=1,IF('Model inputs'!W75="","",'Model inputs'!W75=1)),'Model inputs'!B236))))),1,0))</f>
        <v>#VALUE!</v>
      </c>
      <c r="C26" s="8">
        <f>IF(IF(IF(ISERROR('Model inputs'!C61&lt;'Model inputs'!O20),'Model inputs'!C61&lt;'Model inputs'!O20,IF(OR('Model inputs'!C61="",'Model inputs'!O20=""),"",'Model inputs'!C61&lt;'Model inputs'!O20))="",FALSE,IF(ISERROR('Model inputs'!C61&lt;'Model inputs'!O20),'Model inputs'!C61&lt;'Model inputs'!O20,IF(OR('Model inputs'!C61="",'Model inputs'!O20=""),"",'Model inputs'!C61&lt;'Model inputs'!O20))),0,IF(IF(IF(IFERROR(IF(ISERROR('Model inputs'!B26=1),'Model inputs'!B26=1,IF('Model inputs'!B26="","",'Model inputs'!B26=1))=TRUE,FALSE),TRUE,IF(IFERROR('Model inputs'!B191=TRUE,FALSE),TRUE,IF(OR(IF(ISERROR('Model inputs'!B26=1),'Model inputs'!B26=1,IF('Model inputs'!B26="","",'Model inputs'!B26=1))="",'Model inputs'!B191=""),"",OR(IF(ISERROR('Model inputs'!B26=1),'Model inputs'!B26=1,IF('Model inputs'!B26="","",'Model inputs'!B26=1)),'Model inputs'!B191))))="",FALSE,IF(IFERROR(IF(ISERROR('Model inputs'!B26=1),'Model inputs'!B26=1,IF('Model inputs'!B26="","",'Model inputs'!B26=1))=TRUE,FALSE),TRUE,IF(IFERROR('Model inputs'!B191=TRUE,FALSE),TRUE,IF(OR(IF(ISERROR('Model inputs'!B26=1),'Model inputs'!B26=1,IF('Model inputs'!B26="","",'Model inputs'!B26=1))="",'Model inputs'!B191=""),"",OR(IF(ISERROR('Model inputs'!B26=1),'Model inputs'!B26=1,IF('Model inputs'!B26="","",'Model inputs'!B26=1)),'Model inputs'!B191))))),1,0))</f>
        <v>0</v>
      </c>
      <c r="D26" s="8">
        <f>IF(IF(IF(ISERROR('Model inputs'!D61&lt;'Model inputs'!O20),'Model inputs'!D61&lt;'Model inputs'!O20,IF(OR('Model inputs'!D61="",'Model inputs'!O20=""),"",'Model inputs'!D61&lt;'Model inputs'!O20))="",FALSE,IF(ISERROR('Model inputs'!D61&lt;'Model inputs'!O20),'Model inputs'!D61&lt;'Model inputs'!O20,IF(OR('Model inputs'!D61="",'Model inputs'!O20=""),"",'Model inputs'!D61&lt;'Model inputs'!O20))),0,IF(IF(IF(IFERROR(IF(ISERROR('Model inputs'!C26=1),'Model inputs'!C26=1,IF('Model inputs'!C26="","",'Model inputs'!C26=1))=TRUE,FALSE),TRUE,IF(IFERROR('Model inputs'!B193=TRUE,FALSE),TRUE,IF(OR(IF(ISERROR('Model inputs'!C26=1),'Model inputs'!C26=1,IF('Model inputs'!C26="","",'Model inputs'!C26=1))="",'Model inputs'!B193=""),"",OR(IF(ISERROR('Model inputs'!C26=1),'Model inputs'!C26=1,IF('Model inputs'!C26="","",'Model inputs'!C26=1)),'Model inputs'!B193))))="",FALSE,IF(IFERROR(IF(ISERROR('Model inputs'!C26=1),'Model inputs'!C26=1,IF('Model inputs'!C26="","",'Model inputs'!C26=1))=TRUE,FALSE),TRUE,IF(IFERROR('Model inputs'!B193=TRUE,FALSE),TRUE,IF(OR(IF(ISERROR('Model inputs'!C26=1),'Model inputs'!C26=1,IF('Model inputs'!C26="","",'Model inputs'!C26=1))="",'Model inputs'!B193=""),"",OR(IF(ISERROR('Model inputs'!C26=1),'Model inputs'!C26=1,IF('Model inputs'!C26="","",'Model inputs'!C26=1)),'Model inputs'!B193))))),1,0))</f>
        <v>0</v>
      </c>
      <c r="E26" s="8">
        <f>IF(IF(IF(ISERROR('Model inputs'!E61&lt;'Model inputs'!O20),'Model inputs'!E61&lt;'Model inputs'!O20,IF(OR('Model inputs'!E61="",'Model inputs'!O20=""),"",'Model inputs'!E61&lt;'Model inputs'!O20))="",FALSE,IF(ISERROR('Model inputs'!E61&lt;'Model inputs'!O20),'Model inputs'!E61&lt;'Model inputs'!O20,IF(OR('Model inputs'!E61="",'Model inputs'!O20=""),"",'Model inputs'!E61&lt;'Model inputs'!O20))),0,IF(IF(IF(IFERROR(IF(ISERROR('Model inputs'!D26=1),'Model inputs'!D26=1,IF('Model inputs'!D26="","",'Model inputs'!D26=1))=TRUE,FALSE),TRUE,IF(IFERROR('Model inputs'!B195=TRUE,FALSE),TRUE,IF(OR(IF(ISERROR('Model inputs'!D26=1),'Model inputs'!D26=1,IF('Model inputs'!D26="","",'Model inputs'!D26=1))="",'Model inputs'!B195=""),"",OR(IF(ISERROR('Model inputs'!D26=1),'Model inputs'!D26=1,IF('Model inputs'!D26="","",'Model inputs'!D26=1)),'Model inputs'!B195))))="",FALSE,IF(IFERROR(IF(ISERROR('Model inputs'!D26=1),'Model inputs'!D26=1,IF('Model inputs'!D26="","",'Model inputs'!D26=1))=TRUE,FALSE),TRUE,IF(IFERROR('Model inputs'!B195=TRUE,FALSE),TRUE,IF(OR(IF(ISERROR('Model inputs'!D26=1),'Model inputs'!D26=1,IF('Model inputs'!D26="","",'Model inputs'!D26=1))="",'Model inputs'!B195=""),"",OR(IF(ISERROR('Model inputs'!D26=1),'Model inputs'!D26=1,IF('Model inputs'!D26="","",'Model inputs'!D26=1)),'Model inputs'!B195))))),1,0))</f>
        <v>0</v>
      </c>
      <c r="F26" s="8">
        <f>IF(IF(IF(ISERROR('Model inputs'!F61&lt;'Model inputs'!O20),'Model inputs'!F61&lt;'Model inputs'!O20,IF(OR('Model inputs'!F61="",'Model inputs'!O20=""),"",'Model inputs'!F61&lt;'Model inputs'!O20))="",FALSE,IF(ISERROR('Model inputs'!F61&lt;'Model inputs'!O20),'Model inputs'!F61&lt;'Model inputs'!O20,IF(OR('Model inputs'!F61="",'Model inputs'!O20=""),"",'Model inputs'!F61&lt;'Model inputs'!O20))),0,IF(IF(IF(IFERROR(IF(ISERROR('Model inputs'!E26=1),'Model inputs'!E26=1,IF('Model inputs'!E26="","",'Model inputs'!E26=1))=TRUE,FALSE),TRUE,IF(IFERROR('Model inputs'!B197=TRUE,FALSE),TRUE,IF(OR(IF(ISERROR('Model inputs'!E26=1),'Model inputs'!E26=1,IF('Model inputs'!E26="","",'Model inputs'!E26=1))="",'Model inputs'!B197=""),"",OR(IF(ISERROR('Model inputs'!E26=1),'Model inputs'!E26=1,IF('Model inputs'!E26="","",'Model inputs'!E26=1)),'Model inputs'!B197))))="",FALSE,IF(IFERROR(IF(ISERROR('Model inputs'!E26=1),'Model inputs'!E26=1,IF('Model inputs'!E26="","",'Model inputs'!E26=1))=TRUE,FALSE),TRUE,IF(IFERROR('Model inputs'!B197=TRUE,FALSE),TRUE,IF(OR(IF(ISERROR('Model inputs'!E26=1),'Model inputs'!E26=1,IF('Model inputs'!E26="","",'Model inputs'!E26=1))="",'Model inputs'!B197=""),"",OR(IF(ISERROR('Model inputs'!E26=1),'Model inputs'!E26=1,IF('Model inputs'!E26="","",'Model inputs'!E26=1)),'Model inputs'!B197))))),1,0))</f>
        <v>0</v>
      </c>
      <c r="G26" s="8">
        <f>IF(IF(IF(ISERROR('Model inputs'!G61&lt;'Model inputs'!O20),'Model inputs'!G61&lt;'Model inputs'!O20,IF(OR('Model inputs'!G61="",'Model inputs'!O20=""),"",'Model inputs'!G61&lt;'Model inputs'!O20))="",FALSE,IF(ISERROR('Model inputs'!G61&lt;'Model inputs'!O20),'Model inputs'!G61&lt;'Model inputs'!O20,IF(OR('Model inputs'!G61="",'Model inputs'!O20=""),"",'Model inputs'!G61&lt;'Model inputs'!O20))),0,IF(IF(IF(IFERROR(IF(ISERROR('Model inputs'!F26=1),'Model inputs'!F26=1,IF('Model inputs'!F26="","",'Model inputs'!F26=1))=TRUE,FALSE),TRUE,IF(IFERROR('Model inputs'!B199=TRUE,FALSE),TRUE,IF(OR(IF(ISERROR('Model inputs'!F26=1),'Model inputs'!F26=1,IF('Model inputs'!F26="","",'Model inputs'!F26=1))="",'Model inputs'!B199=""),"",OR(IF(ISERROR('Model inputs'!F26=1),'Model inputs'!F26=1,IF('Model inputs'!F26="","",'Model inputs'!F26=1)),'Model inputs'!B199))))="",FALSE,IF(IFERROR(IF(ISERROR('Model inputs'!F26=1),'Model inputs'!F26=1,IF('Model inputs'!F26="","",'Model inputs'!F26=1))=TRUE,FALSE),TRUE,IF(IFERROR('Model inputs'!B199=TRUE,FALSE),TRUE,IF(OR(IF(ISERROR('Model inputs'!F26=1),'Model inputs'!F26=1,IF('Model inputs'!F26="","",'Model inputs'!F26=1))="",'Model inputs'!B199=""),"",OR(IF(ISERROR('Model inputs'!F26=1),'Model inputs'!F26=1,IF('Model inputs'!F26="","",'Model inputs'!F26=1)),'Model inputs'!B199))))),1,0))</f>
        <v>0</v>
      </c>
      <c r="H26" s="8">
        <f>IF(IF(IF(ISERROR('Model inputs'!H61&lt;'Model inputs'!O20),'Model inputs'!H61&lt;'Model inputs'!O20,IF(OR('Model inputs'!H61="",'Model inputs'!O20=""),"",'Model inputs'!H61&lt;'Model inputs'!O20))="",FALSE,IF(ISERROR('Model inputs'!H61&lt;'Model inputs'!O20),'Model inputs'!H61&lt;'Model inputs'!O20,IF(OR('Model inputs'!H61="",'Model inputs'!O20=""),"",'Model inputs'!H61&lt;'Model inputs'!O20))),0,IF(IF(IF(IFERROR(IF(ISERROR('Model inputs'!G26=1),'Model inputs'!G26=1,IF('Model inputs'!G26="","",'Model inputs'!G26=1))=TRUE,FALSE),TRUE,IF(IFERROR('Model inputs'!B201=TRUE,FALSE),TRUE,IF(OR(IF(ISERROR('Model inputs'!G26=1),'Model inputs'!G26=1,IF('Model inputs'!G26="","",'Model inputs'!G26=1))="",'Model inputs'!B201=""),"",OR(IF(ISERROR('Model inputs'!G26=1),'Model inputs'!G26=1,IF('Model inputs'!G26="","",'Model inputs'!G26=1)),'Model inputs'!B201))))="",FALSE,IF(IFERROR(IF(ISERROR('Model inputs'!G26=1),'Model inputs'!G26=1,IF('Model inputs'!G26="","",'Model inputs'!G26=1))=TRUE,FALSE),TRUE,IF(IFERROR('Model inputs'!B201=TRUE,FALSE),TRUE,IF(OR(IF(ISERROR('Model inputs'!G26=1),'Model inputs'!G26=1,IF('Model inputs'!G26="","",'Model inputs'!G26=1))="",'Model inputs'!B201=""),"",OR(IF(ISERROR('Model inputs'!G26=1),'Model inputs'!G26=1,IF('Model inputs'!G26="","",'Model inputs'!G26=1)),'Model inputs'!B201))))),1,0))</f>
        <v>0</v>
      </c>
      <c r="I26" s="8">
        <f>IF(IF(IF(ISERROR('Model inputs'!I61&lt;'Model inputs'!O20),'Model inputs'!I61&lt;'Model inputs'!O20,IF(OR('Model inputs'!I61="",'Model inputs'!O20=""),"",'Model inputs'!I61&lt;'Model inputs'!O20))="",FALSE,IF(ISERROR('Model inputs'!I61&lt;'Model inputs'!O20),'Model inputs'!I61&lt;'Model inputs'!O20,IF(OR('Model inputs'!I61="",'Model inputs'!O20=""),"",'Model inputs'!I61&lt;'Model inputs'!O20))),0,IF(IF(IF(IFERROR(IF(ISERROR('Model inputs'!H26=1),'Model inputs'!H26=1,IF('Model inputs'!H26="","",'Model inputs'!H26=1))=TRUE,FALSE),TRUE,IF(IFERROR('Model inputs'!B203=TRUE,FALSE),TRUE,IF(OR(IF(ISERROR('Model inputs'!H26=1),'Model inputs'!H26=1,IF('Model inputs'!H26="","",'Model inputs'!H26=1))="",'Model inputs'!B203=""),"",OR(IF(ISERROR('Model inputs'!H26=1),'Model inputs'!H26=1,IF('Model inputs'!H26="","",'Model inputs'!H26=1)),'Model inputs'!B203))))="",FALSE,IF(IFERROR(IF(ISERROR('Model inputs'!H26=1),'Model inputs'!H26=1,IF('Model inputs'!H26="","",'Model inputs'!H26=1))=TRUE,FALSE),TRUE,IF(IFERROR('Model inputs'!B203=TRUE,FALSE),TRUE,IF(OR(IF(ISERROR('Model inputs'!H26=1),'Model inputs'!H26=1,IF('Model inputs'!H26="","",'Model inputs'!H26=1))="",'Model inputs'!B203=""),"",OR(IF(ISERROR('Model inputs'!H26=1),'Model inputs'!H26=1,IF('Model inputs'!H26="","",'Model inputs'!H26=1)),'Model inputs'!B203))))),1,0))</f>
        <v>0</v>
      </c>
      <c r="J26" s="8">
        <f>IF(IF(IF(ISERROR('Model inputs'!J61&lt;'Model inputs'!O20),'Model inputs'!J61&lt;'Model inputs'!O20,IF(OR('Model inputs'!J61="",'Model inputs'!O20=""),"",'Model inputs'!J61&lt;'Model inputs'!O20))="",FALSE,IF(ISERROR('Model inputs'!J61&lt;'Model inputs'!O20),'Model inputs'!J61&lt;'Model inputs'!O20,IF(OR('Model inputs'!J61="",'Model inputs'!O20=""),"",'Model inputs'!J61&lt;'Model inputs'!O20))),0,IF(IF(IF(IFERROR(IF(ISERROR('Model inputs'!I26=1),'Model inputs'!I26=1,IF('Model inputs'!I26="","",'Model inputs'!I26=1))=TRUE,FALSE),TRUE,IF(IFERROR('Model inputs'!B205=TRUE,FALSE),TRUE,IF(OR(IF(ISERROR('Model inputs'!I26=1),'Model inputs'!I26=1,IF('Model inputs'!I26="","",'Model inputs'!I26=1))="",'Model inputs'!B205=""),"",OR(IF(ISERROR('Model inputs'!I26=1),'Model inputs'!I26=1,IF('Model inputs'!I26="","",'Model inputs'!I26=1)),'Model inputs'!B205))))="",FALSE,IF(IFERROR(IF(ISERROR('Model inputs'!I26=1),'Model inputs'!I26=1,IF('Model inputs'!I26="","",'Model inputs'!I26=1))=TRUE,FALSE),TRUE,IF(IFERROR('Model inputs'!B205=TRUE,FALSE),TRUE,IF(OR(IF(ISERROR('Model inputs'!I26=1),'Model inputs'!I26=1,IF('Model inputs'!I26="","",'Model inputs'!I26=1))="",'Model inputs'!B205=""),"",OR(IF(ISERROR('Model inputs'!I26=1),'Model inputs'!I26=1,IF('Model inputs'!I26="","",'Model inputs'!I26=1)),'Model inputs'!B205))))),1,0))</f>
        <v>0</v>
      </c>
      <c r="K26" s="8">
        <f>IF(IF(IF(ISERROR('Model inputs'!K61&lt;'Model inputs'!O20),'Model inputs'!K61&lt;'Model inputs'!O20,IF(OR('Model inputs'!K61="",'Model inputs'!O20=""),"",'Model inputs'!K61&lt;'Model inputs'!O20))="",FALSE,IF(ISERROR('Model inputs'!K61&lt;'Model inputs'!O20),'Model inputs'!K61&lt;'Model inputs'!O20,IF(OR('Model inputs'!K61="",'Model inputs'!O20=""),"",'Model inputs'!K61&lt;'Model inputs'!O20))),0,IF(IF(IF(IFERROR(IF(ISERROR('Model inputs'!J26=1),'Model inputs'!J26=1,IF('Model inputs'!J26="","",'Model inputs'!J26=1))=TRUE,FALSE),TRUE,IF(IFERROR('Model inputs'!B207=TRUE,FALSE),TRUE,IF(OR(IF(ISERROR('Model inputs'!J26=1),'Model inputs'!J26=1,IF('Model inputs'!J26="","",'Model inputs'!J26=1))="",'Model inputs'!B207=""),"",OR(IF(ISERROR('Model inputs'!J26=1),'Model inputs'!J26=1,IF('Model inputs'!J26="","",'Model inputs'!J26=1)),'Model inputs'!B207))))="",FALSE,IF(IFERROR(IF(ISERROR('Model inputs'!J26=1),'Model inputs'!J26=1,IF('Model inputs'!J26="","",'Model inputs'!J26=1))=TRUE,FALSE),TRUE,IF(IFERROR('Model inputs'!B207=TRUE,FALSE),TRUE,IF(OR(IF(ISERROR('Model inputs'!J26=1),'Model inputs'!J26=1,IF('Model inputs'!J26="","",'Model inputs'!J26=1))="",'Model inputs'!B207=""),"",OR(IF(ISERROR('Model inputs'!J26=1),'Model inputs'!J26=1,IF('Model inputs'!J26="","",'Model inputs'!J26=1)),'Model inputs'!B207))))),1,0))</f>
        <v>0</v>
      </c>
      <c r="L26" s="8">
        <f>IF(IF(IF(ISERROR('Model inputs'!L61&lt;'Model inputs'!O20),'Model inputs'!L61&lt;'Model inputs'!O20,IF(OR('Model inputs'!L61="",'Model inputs'!O20=""),"",'Model inputs'!L61&lt;'Model inputs'!O20))="",FALSE,IF(ISERROR('Model inputs'!L61&lt;'Model inputs'!O20),'Model inputs'!L61&lt;'Model inputs'!O20,IF(OR('Model inputs'!L61="",'Model inputs'!O20=""),"",'Model inputs'!L61&lt;'Model inputs'!O20))),0,IF(IF(IF(IFERROR(IF(ISERROR('Model inputs'!K26=1),'Model inputs'!K26=1,IF('Model inputs'!K26="","",'Model inputs'!K26=1))=TRUE,FALSE),TRUE,IF(IFERROR('Model inputs'!B211=TRUE,FALSE),TRUE,IF(OR(IF(ISERROR('Model inputs'!K26=1),'Model inputs'!K26=1,IF('Model inputs'!K26="","",'Model inputs'!K26=1))="",'Model inputs'!B211=""),"",OR(IF(ISERROR('Model inputs'!K26=1),'Model inputs'!K26=1,IF('Model inputs'!K26="","",'Model inputs'!K26=1)),'Model inputs'!B211))))="",FALSE,IF(IFERROR(IF(ISERROR('Model inputs'!K26=1),'Model inputs'!K26=1,IF('Model inputs'!K26="","",'Model inputs'!K26=1))=TRUE,FALSE),TRUE,IF(IFERROR('Model inputs'!B211=TRUE,FALSE),TRUE,IF(OR(IF(ISERROR('Model inputs'!K26=1),'Model inputs'!K26=1,IF('Model inputs'!K26="","",'Model inputs'!K26=1))="",'Model inputs'!B211=""),"",OR(IF(ISERROR('Model inputs'!K26=1),'Model inputs'!K26=1,IF('Model inputs'!K26="","",'Model inputs'!K26=1)),'Model inputs'!B211))))),1,0))</f>
        <v>0</v>
      </c>
      <c r="M26" s="8">
        <f>IF(IF(IF(ISERROR('Model inputs'!M61&lt;'Model inputs'!O20),'Model inputs'!M61&lt;'Model inputs'!O20,IF(OR('Model inputs'!M61="",'Model inputs'!O20=""),"",'Model inputs'!M61&lt;'Model inputs'!O20))="",FALSE,IF(ISERROR('Model inputs'!M61&lt;'Model inputs'!O20),'Model inputs'!M61&lt;'Model inputs'!O20,IF(OR('Model inputs'!M61="",'Model inputs'!O20=""),"",'Model inputs'!M61&lt;'Model inputs'!O20))),0,IF(IF(IF(IFERROR(IF(ISERROR('Model inputs'!L26=1),'Model inputs'!L26=1,IF('Model inputs'!L26="","",'Model inputs'!L26=1))=TRUE,FALSE),TRUE,IF(IFERROR('Model inputs'!B216=TRUE,FALSE),TRUE,IF(OR(IF(ISERROR('Model inputs'!L26=1),'Model inputs'!L26=1,IF('Model inputs'!L26="","",'Model inputs'!L26=1))="",'Model inputs'!B216=""),"",OR(IF(ISERROR('Model inputs'!L26=1),'Model inputs'!L26=1,IF('Model inputs'!L26="","",'Model inputs'!L26=1)),'Model inputs'!B216))))="",FALSE,IF(IFERROR(IF(ISERROR('Model inputs'!L26=1),'Model inputs'!L26=1,IF('Model inputs'!L26="","",'Model inputs'!L26=1))=TRUE,FALSE),TRUE,IF(IFERROR('Model inputs'!B216=TRUE,FALSE),TRUE,IF(OR(IF(ISERROR('Model inputs'!L26=1),'Model inputs'!L26=1,IF('Model inputs'!L26="","",'Model inputs'!L26=1))="",'Model inputs'!B216=""),"",OR(IF(ISERROR('Model inputs'!L26=1),'Model inputs'!L26=1,IF('Model inputs'!L26="","",'Model inputs'!L26=1)),'Model inputs'!B216))))),1,0))</f>
        <v>0</v>
      </c>
      <c r="N26" s="8">
        <f>IF(IF(IF(ISERROR('Model inputs'!N61&lt;'Model inputs'!O20),'Model inputs'!N61&lt;'Model inputs'!O20,IF(OR('Model inputs'!N61="",'Model inputs'!O20=""),"",'Model inputs'!N61&lt;'Model inputs'!O20))="",FALSE,IF(ISERROR('Model inputs'!N61&lt;'Model inputs'!O20),'Model inputs'!N61&lt;'Model inputs'!O20,IF(OR('Model inputs'!N61="",'Model inputs'!O20=""),"",'Model inputs'!N61&lt;'Model inputs'!O20))),0,IF(IF(IF(IFERROR(IF(ISERROR('Model inputs'!M26=1),'Model inputs'!M26=1,IF('Model inputs'!M26="","",'Model inputs'!M26=1))=TRUE,FALSE),TRUE,IF(IFERROR('Model inputs'!B221=TRUE,FALSE),TRUE,IF(OR(IF(ISERROR('Model inputs'!M26=1),'Model inputs'!M26=1,IF('Model inputs'!M26="","",'Model inputs'!M26=1))="",'Model inputs'!B221=""),"",OR(IF(ISERROR('Model inputs'!M26=1),'Model inputs'!M26=1,IF('Model inputs'!M26="","",'Model inputs'!M26=1)),'Model inputs'!B221))))="",FALSE,IF(IFERROR(IF(ISERROR('Model inputs'!M26=1),'Model inputs'!M26=1,IF('Model inputs'!M26="","",'Model inputs'!M26=1))=TRUE,FALSE),TRUE,IF(IFERROR('Model inputs'!B221=TRUE,FALSE),TRUE,IF(OR(IF(ISERROR('Model inputs'!M26=1),'Model inputs'!M26=1,IF('Model inputs'!M26="","",'Model inputs'!M26=1))="",'Model inputs'!B221=""),"",OR(IF(ISERROR('Model inputs'!M26=1),'Model inputs'!M26=1,IF('Model inputs'!M26="","",'Model inputs'!M26=1)),'Model inputs'!B221))))),1,0))</f>
        <v>0</v>
      </c>
    </row>
    <row r="27">
      <c r="A27" t="inlineStr" s="19">
        <is>
          <t xml:space="preserve">Extra fix price · Monthly operating and hiring forecast</t>
        </is>
      </c>
      <c r="O27" s="8">
        <f>'Pricing and operating assumptio'!B7</f>
        <v>29</v>
      </c>
    </row>
    <row r="28">
      <c r="A28" t="inlineStr" s="19">
        <is>
          <t xml:space="preserve">Extra fix revenue · Main Scenario</t>
        </is>
      </c>
      <c r="B28" s="20">
        <f>'Model inputs'!B32*'Model inputs'!O27</f>
        <v>0</v>
      </c>
      <c r="C28" s="20">
        <f>'Model inputs'!C32*'Model inputs'!O27</f>
        <v>0</v>
      </c>
      <c r="D28" s="20">
        <f>'Model inputs'!D32*'Model inputs'!O27</f>
        <v>0</v>
      </c>
      <c r="E28" s="20">
        <f>'Model inputs'!E32*'Model inputs'!O27</f>
        <v>0</v>
      </c>
      <c r="F28" s="20">
        <f>'Model inputs'!F32*'Model inputs'!O27</f>
        <v>0</v>
      </c>
      <c r="G28" s="20">
        <f>'Model inputs'!G32*'Model inputs'!O27</f>
        <v>0</v>
      </c>
      <c r="H28" s="20">
        <f>'Model inputs'!H32*'Model inputs'!O27</f>
        <v>0</v>
      </c>
      <c r="I28" s="20">
        <f>'Model inputs'!I32*'Model inputs'!O27</f>
        <v>0</v>
      </c>
      <c r="J28" s="20">
        <f>'Model inputs'!J32*'Model inputs'!O27</f>
        <v>0</v>
      </c>
      <c r="K28" s="20">
        <f>'Model inputs'!K32*'Model inputs'!O27</f>
        <v>0</v>
      </c>
      <c r="L28" s="20">
        <f>'Model inputs'!L32*'Model inputs'!O27</f>
        <v>0</v>
      </c>
      <c r="M28" s="20">
        <f>'Model inputs'!M32*'Model inputs'!O27</f>
        <v>0</v>
      </c>
      <c r="N28" s="20">
        <f>'Model inputs'!N32*'Model inputs'!O27</f>
        <v>0</v>
      </c>
    </row>
    <row r="29">
      <c r="A29" t="inlineStr" s="19">
        <is>
          <t xml:space="preserve">Extra fix revenue · Upside</t>
        </is>
      </c>
      <c r="B29" s="20">
        <f>'Model inputs'!B78*'Model inputs'!O76</f>
        <v>0</v>
      </c>
      <c r="C29" s="20">
        <f>'Model inputs'!C78*'Model inputs'!O76</f>
        <v>0</v>
      </c>
      <c r="D29" s="20">
        <f>'Model inputs'!D78*'Model inputs'!O76</f>
        <v>0</v>
      </c>
      <c r="E29" s="20">
        <f>'Model inputs'!E78*'Model inputs'!O76</f>
        <v>0</v>
      </c>
      <c r="F29" s="20">
        <f>'Model inputs'!F78*'Model inputs'!O76</f>
        <v>0</v>
      </c>
      <c r="G29" s="20">
        <f>'Model inputs'!G78*'Model inputs'!O76</f>
        <v>0</v>
      </c>
      <c r="H29" s="20">
        <f>'Model inputs'!H78*'Model inputs'!O76</f>
        <v>0</v>
      </c>
      <c r="I29" s="20">
        <f>'Model inputs'!I78*'Model inputs'!O76</f>
        <v>0</v>
      </c>
      <c r="J29" s="20">
        <f>'Model inputs'!J78*'Model inputs'!O76</f>
        <v>0</v>
      </c>
      <c r="K29" s="20">
        <f>'Model inputs'!K78*'Model inputs'!O76</f>
        <v>0</v>
      </c>
      <c r="L29" s="20">
        <f>'Model inputs'!L78*'Model inputs'!O76</f>
        <v>0</v>
      </c>
      <c r="M29" s="20">
        <f>'Model inputs'!M78*'Model inputs'!O76</f>
        <v>0</v>
      </c>
      <c r="N29" s="20">
        <f>'Model inputs'!N78*'Model inputs'!O76</f>
        <v>0</v>
      </c>
    </row>
    <row r="30">
      <c r="A30" t="inlineStr" s="19">
        <is>
          <t xml:space="preserve">Extra fix revenue · Downside</t>
        </is>
      </c>
      <c r="B30" s="20">
        <f>'Model inputs'!B79*'Model inputs'!O77</f>
        <v>0</v>
      </c>
      <c r="C30" s="20">
        <f>'Model inputs'!C79*'Model inputs'!O77</f>
        <v>0</v>
      </c>
      <c r="D30" s="20">
        <f>'Model inputs'!D79*'Model inputs'!O77</f>
        <v>0</v>
      </c>
      <c r="E30" s="20">
        <f>'Model inputs'!E79*'Model inputs'!O77</f>
        <v>0</v>
      </c>
      <c r="F30" s="20">
        <f>'Model inputs'!F79*'Model inputs'!O77</f>
        <v>0</v>
      </c>
      <c r="G30" s="20">
        <f>'Model inputs'!G79*'Model inputs'!O77</f>
        <v>0</v>
      </c>
      <c r="H30" s="20">
        <f>'Model inputs'!H79*'Model inputs'!O77</f>
        <v>0</v>
      </c>
      <c r="I30" s="20">
        <f>'Model inputs'!I79*'Model inputs'!O77</f>
        <v>0</v>
      </c>
      <c r="J30" s="20">
        <f>'Model inputs'!J79*'Model inputs'!O77</f>
        <v>0</v>
      </c>
      <c r="K30" s="20">
        <f>'Model inputs'!K79*'Model inputs'!O77</f>
        <v>0</v>
      </c>
      <c r="L30" s="20">
        <f>'Model inputs'!L79*'Model inputs'!O77</f>
        <v>0</v>
      </c>
      <c r="M30" s="20">
        <f>'Model inputs'!M79*'Model inputs'!O77</f>
        <v>0</v>
      </c>
      <c r="N30" s="20">
        <f>'Model inputs'!N79*'Model inputs'!O77</f>
        <v>0</v>
      </c>
    </row>
    <row r="31">
      <c r="A31" t="inlineStr" s="19">
        <is>
          <t xml:space="preserve">Extra fixes per team</t>
        </is>
      </c>
      <c r="B31" s="20">
        <v>0</v>
      </c>
      <c r="C31" s="20">
        <f>'Monthly operating and hiring fo'!B7</f>
        <v>0</v>
      </c>
      <c r="D31" s="20">
        <f>'Monthly operating and hiring fo'!C7</f>
        <v>0</v>
      </c>
      <c r="E31" s="20">
        <f>'Monthly operating and hiring fo'!D7</f>
        <v>0</v>
      </c>
      <c r="F31" s="20">
        <f>'Monthly operating and hiring fo'!E7</f>
        <v>0</v>
      </c>
      <c r="G31" s="20">
        <f>'Monthly operating and hiring fo'!F7</f>
        <v>0</v>
      </c>
      <c r="H31" s="20">
        <f>'Monthly operating and hiring fo'!G7</f>
        <v>0</v>
      </c>
      <c r="I31" s="20">
        <f>'Monthly operating and hiring fo'!H7</f>
        <v>0</v>
      </c>
      <c r="J31" s="20">
        <f>'Monthly operating and hiring fo'!I7</f>
        <v>0</v>
      </c>
      <c r="K31" s="20">
        <f>'Monthly operating and hiring fo'!J7</f>
        <v>0</v>
      </c>
      <c r="L31" s="20">
        <f>'Monthly operating and hiring fo'!K7</f>
        <v>0</v>
      </c>
      <c r="M31" s="20">
        <f>'Monthly operating and hiring fo'!L7</f>
        <v>0</v>
      </c>
      <c r="N31" s="20">
        <f>'Monthly operating and hiring fo'!M7</f>
        <v>0</v>
      </c>
    </row>
    <row r="32">
      <c r="A32" t="inlineStr" s="19">
        <is>
          <t xml:space="preserve">Extra successful fixes</t>
        </is>
      </c>
      <c r="B32" s="20">
        <f>'Model inputs'!B58*'Model inputs'!B31</f>
        <v>0</v>
      </c>
      <c r="C32" s="20">
        <f>'Model inputs'!C58*'Model inputs'!C31</f>
        <v>0</v>
      </c>
      <c r="D32" s="20">
        <f>'Model inputs'!D58*'Model inputs'!D31</f>
        <v>0</v>
      </c>
      <c r="E32" s="20">
        <f>'Model inputs'!E58*'Model inputs'!E31</f>
        <v>0</v>
      </c>
      <c r="F32" s="20">
        <f>'Model inputs'!F58*'Model inputs'!F31</f>
        <v>0</v>
      </c>
      <c r="G32" s="20">
        <f>'Model inputs'!G58*'Model inputs'!G31</f>
        <v>0</v>
      </c>
      <c r="H32" s="20">
        <f>'Model inputs'!H58*'Model inputs'!H31</f>
        <v>0</v>
      </c>
      <c r="I32" s="20">
        <f>'Model inputs'!I58*'Model inputs'!I31</f>
        <v>0</v>
      </c>
      <c r="J32" s="20">
        <f>'Model inputs'!J58*'Model inputs'!J31</f>
        <v>0</v>
      </c>
      <c r="K32" s="20">
        <f>'Model inputs'!K58*'Model inputs'!K31</f>
        <v>0</v>
      </c>
      <c r="L32" s="20">
        <f>'Model inputs'!L58*'Model inputs'!L31</f>
        <v>0</v>
      </c>
      <c r="M32" s="20">
        <f>'Model inputs'!M58*'Model inputs'!M31</f>
        <v>0</v>
      </c>
      <c r="N32" s="20">
        <f>'Model inputs'!N58*'Model inputs'!N31</f>
        <v>0</v>
      </c>
    </row>
    <row r="33">
      <c r="A33" t="inlineStr" s="19">
        <is>
          <t xml:space="preserve">Fixed overhead</t>
        </is>
      </c>
      <c r="B33" s="20">
        <f>'Model inputs'!O47+'Model inputs'!O48</f>
        <v>150</v>
      </c>
      <c r="C33" s="20">
        <f>'Model inputs'!O47+'Model inputs'!O48</f>
        <v>150</v>
      </c>
      <c r="D33" s="20">
        <f>'Model inputs'!O47+'Model inputs'!O48</f>
        <v>150</v>
      </c>
      <c r="E33" s="20">
        <f>'Model inputs'!O47+'Model inputs'!O48</f>
        <v>150</v>
      </c>
      <c r="F33" s="20">
        <f>'Model inputs'!O47+'Model inputs'!O48</f>
        <v>150</v>
      </c>
      <c r="G33" s="20">
        <f>'Model inputs'!O47+'Model inputs'!O48</f>
        <v>150</v>
      </c>
      <c r="H33" s="20">
        <f>'Model inputs'!O47+'Model inputs'!O48</f>
        <v>150</v>
      </c>
      <c r="I33" s="20">
        <f>'Model inputs'!O47+'Model inputs'!O48</f>
        <v>150</v>
      </c>
      <c r="J33" s="20">
        <f>'Model inputs'!O47+'Model inputs'!O48</f>
        <v>150</v>
      </c>
      <c r="K33" s="20">
        <f>'Model inputs'!O47+'Model inputs'!O48</f>
        <v>150</v>
      </c>
      <c r="L33" s="20">
        <f>'Model inputs'!O47+'Model inputs'!O48</f>
        <v>150</v>
      </c>
      <c r="M33" s="20">
        <f>'Model inputs'!O47+'Model inputs'!O48</f>
        <v>150</v>
      </c>
      <c r="N33" s="20">
        <f>'Model inputs'!O47+'Model inputs'!O48</f>
        <v>150</v>
      </c>
    </row>
    <row r="34">
      <c r="A34" t="inlineStr" s="19">
        <is>
          <t xml:space="preserve">Founder monthly pay · Monthly operating and hiring forecast</t>
        </is>
      </c>
      <c r="O34" s="20">
        <f>'Pricing and operating assumptio'!B13</f>
        <v>4000</v>
      </c>
    </row>
    <row r="35">
      <c r="A35" t="inlineStr" s="19">
        <is>
          <t xml:space="preserve">Founder pay</t>
        </is>
      </c>
      <c r="B35" t="e" s="20">
        <f>IF(IF(IF(ISERROR('Model inputs'!B59&gt;='Model inputs'!O36),'Model inputs'!B59&gt;='Model inputs'!O36,IF(OR('Model inputs'!B59="",'Model inputs'!O36=""),"",'Model inputs'!B59&gt;='Model inputs'!O36))="",FALSE,IF(ISERROR('Model inputs'!B59&gt;='Model inputs'!O36),'Model inputs'!B59&gt;='Model inputs'!O36,IF(OR('Model inputs'!B59="",'Model inputs'!O36=""),"",'Model inputs'!B59&gt;='Model inputs'!O36))),IF('Model inputs'!O34="","",'Model inputs'!O34),0)</f>
        <v>#VALUE!</v>
      </c>
      <c r="C35" s="20">
        <f>IF(IF(IF(ISERROR('Model inputs'!C59&gt;='Model inputs'!O36),'Model inputs'!C59&gt;='Model inputs'!O36,IF(OR('Model inputs'!C59="",'Model inputs'!O36=""),"",'Model inputs'!C59&gt;='Model inputs'!O36))="",FALSE,IF(ISERROR('Model inputs'!C59&gt;='Model inputs'!O36),'Model inputs'!C59&gt;='Model inputs'!O36,IF(OR('Model inputs'!C59="",'Model inputs'!O36=""),"",'Model inputs'!C59&gt;='Model inputs'!O36))),IF('Model inputs'!O34="","",'Model inputs'!O34),0)</f>
        <v>0</v>
      </c>
      <c r="D35" s="20">
        <f>IF(IF(IF(ISERROR('Model inputs'!D59&gt;='Model inputs'!O36),'Model inputs'!D59&gt;='Model inputs'!O36,IF(OR('Model inputs'!D59="",'Model inputs'!O36=""),"",'Model inputs'!D59&gt;='Model inputs'!O36))="",FALSE,IF(ISERROR('Model inputs'!D59&gt;='Model inputs'!O36),'Model inputs'!D59&gt;='Model inputs'!O36,IF(OR('Model inputs'!D59="",'Model inputs'!O36=""),"",'Model inputs'!D59&gt;='Model inputs'!O36))),IF('Model inputs'!O34="","",'Model inputs'!O34),0)</f>
        <v>0</v>
      </c>
      <c r="E35" s="20">
        <f>IF(IF(IF(ISERROR('Model inputs'!E59&gt;='Model inputs'!O36),'Model inputs'!E59&gt;='Model inputs'!O36,IF(OR('Model inputs'!E59="",'Model inputs'!O36=""),"",'Model inputs'!E59&gt;='Model inputs'!O36))="",FALSE,IF(ISERROR('Model inputs'!E59&gt;='Model inputs'!O36),'Model inputs'!E59&gt;='Model inputs'!O36,IF(OR('Model inputs'!E59="",'Model inputs'!O36=""),"",'Model inputs'!E59&gt;='Model inputs'!O36))),IF('Model inputs'!O34="","",'Model inputs'!O34),0)</f>
        <v>0</v>
      </c>
      <c r="F35" s="20">
        <f>IF(IF(IF(ISERROR('Model inputs'!F59&gt;='Model inputs'!O36),'Model inputs'!F59&gt;='Model inputs'!O36,IF(OR('Model inputs'!F59="",'Model inputs'!O36=""),"",'Model inputs'!F59&gt;='Model inputs'!O36))="",FALSE,IF(ISERROR('Model inputs'!F59&gt;='Model inputs'!O36),'Model inputs'!F59&gt;='Model inputs'!O36,IF(OR('Model inputs'!F59="",'Model inputs'!O36=""),"",'Model inputs'!F59&gt;='Model inputs'!O36))),IF('Model inputs'!O34="","",'Model inputs'!O34),0)</f>
        <v>0</v>
      </c>
      <c r="G35" s="20">
        <f>IF(IF(IF(ISERROR('Model inputs'!G59&gt;='Model inputs'!O36),'Model inputs'!G59&gt;='Model inputs'!O36,IF(OR('Model inputs'!G59="",'Model inputs'!O36=""),"",'Model inputs'!G59&gt;='Model inputs'!O36))="",FALSE,IF(ISERROR('Model inputs'!G59&gt;='Model inputs'!O36),'Model inputs'!G59&gt;='Model inputs'!O36,IF(OR('Model inputs'!G59="",'Model inputs'!O36=""),"",'Model inputs'!G59&gt;='Model inputs'!O36))),IF('Model inputs'!O34="","",'Model inputs'!O34),0)</f>
        <v>0</v>
      </c>
      <c r="H35" s="20">
        <f>IF(IF(IF(ISERROR('Model inputs'!H59&gt;='Model inputs'!O36),'Model inputs'!H59&gt;='Model inputs'!O36,IF(OR('Model inputs'!H59="",'Model inputs'!O36=""),"",'Model inputs'!H59&gt;='Model inputs'!O36))="",FALSE,IF(ISERROR('Model inputs'!H59&gt;='Model inputs'!O36),'Model inputs'!H59&gt;='Model inputs'!O36,IF(OR('Model inputs'!H59="",'Model inputs'!O36=""),"",'Model inputs'!H59&gt;='Model inputs'!O36))),IF('Model inputs'!O34="","",'Model inputs'!O34),0)</f>
        <v>0</v>
      </c>
      <c r="I35" s="20">
        <f>IF(IF(IF(ISERROR('Model inputs'!I59&gt;='Model inputs'!O36),'Model inputs'!I59&gt;='Model inputs'!O36,IF(OR('Model inputs'!I59="",'Model inputs'!O36=""),"",'Model inputs'!I59&gt;='Model inputs'!O36))="",FALSE,IF(ISERROR('Model inputs'!I59&gt;='Model inputs'!O36),'Model inputs'!I59&gt;='Model inputs'!O36,IF(OR('Model inputs'!I59="",'Model inputs'!O36=""),"",'Model inputs'!I59&gt;='Model inputs'!O36))),IF('Model inputs'!O34="","",'Model inputs'!O34),0)</f>
        <v>4000</v>
      </c>
      <c r="J35" s="20">
        <f>IF(IF(IF(ISERROR('Model inputs'!J59&gt;='Model inputs'!O36),'Model inputs'!J59&gt;='Model inputs'!O36,IF(OR('Model inputs'!J59="",'Model inputs'!O36=""),"",'Model inputs'!J59&gt;='Model inputs'!O36))="",FALSE,IF(ISERROR('Model inputs'!J59&gt;='Model inputs'!O36),'Model inputs'!J59&gt;='Model inputs'!O36,IF(OR('Model inputs'!J59="",'Model inputs'!O36=""),"",'Model inputs'!J59&gt;='Model inputs'!O36))),IF('Model inputs'!O34="","",'Model inputs'!O34),0)</f>
        <v>4000</v>
      </c>
      <c r="K35" s="20">
        <f>IF(IF(IF(ISERROR('Model inputs'!K59&gt;='Model inputs'!O36),'Model inputs'!K59&gt;='Model inputs'!O36,IF(OR('Model inputs'!K59="",'Model inputs'!O36=""),"",'Model inputs'!K59&gt;='Model inputs'!O36))="",FALSE,IF(ISERROR('Model inputs'!K59&gt;='Model inputs'!O36),'Model inputs'!K59&gt;='Model inputs'!O36,IF(OR('Model inputs'!K59="",'Model inputs'!O36=""),"",'Model inputs'!K59&gt;='Model inputs'!O36))),IF('Model inputs'!O34="","",'Model inputs'!O34),0)</f>
        <v>4000</v>
      </c>
      <c r="L35" s="20">
        <f>IF(IF(IF(ISERROR('Model inputs'!L59&gt;='Model inputs'!O36),'Model inputs'!L59&gt;='Model inputs'!O36,IF(OR('Model inputs'!L59="",'Model inputs'!O36=""),"",'Model inputs'!L59&gt;='Model inputs'!O36))="",FALSE,IF(ISERROR('Model inputs'!L59&gt;='Model inputs'!O36),'Model inputs'!L59&gt;='Model inputs'!O36,IF(OR('Model inputs'!L59="",'Model inputs'!O36=""),"",'Model inputs'!L59&gt;='Model inputs'!O36))),IF('Model inputs'!O34="","",'Model inputs'!O34),0)</f>
        <v>4000</v>
      </c>
      <c r="M35" s="20">
        <f>IF(IF(IF(ISERROR('Model inputs'!M59&gt;='Model inputs'!O36),'Model inputs'!M59&gt;='Model inputs'!O36,IF(OR('Model inputs'!M59="",'Model inputs'!O36=""),"",'Model inputs'!M59&gt;='Model inputs'!O36))="",FALSE,IF(ISERROR('Model inputs'!M59&gt;='Model inputs'!O36),'Model inputs'!M59&gt;='Model inputs'!O36,IF(OR('Model inputs'!M59="",'Model inputs'!O36=""),"",'Model inputs'!M59&gt;='Model inputs'!O36))),IF('Model inputs'!O34="","",'Model inputs'!O34),0)</f>
        <v>4000</v>
      </c>
      <c r="N35" s="20">
        <f>IF(IF(IF(ISERROR('Model inputs'!N59&gt;='Model inputs'!O36),'Model inputs'!N59&gt;='Model inputs'!O36,IF(OR('Model inputs'!N59="",'Model inputs'!O36=""),"",'Model inputs'!N59&gt;='Model inputs'!O36))="",FALSE,IF(ISERROR('Model inputs'!N59&gt;='Model inputs'!O36),'Model inputs'!N59&gt;='Model inputs'!O36,IF(OR('Model inputs'!N59="",'Model inputs'!O36=""),"",'Model inputs'!N59&gt;='Model inputs'!O36))),IF('Model inputs'!O34="","",'Model inputs'!O34),0)</f>
        <v>4000</v>
      </c>
    </row>
    <row r="36">
      <c r="A36" t="inlineStr" s="19">
        <is>
          <t xml:space="preserve">Founder pay start month · Monthly operating and hiring forecast</t>
        </is>
      </c>
      <c r="O36" s="20">
        <f>'Pricing and operating assumptio'!B14</f>
        <v>7</v>
      </c>
    </row>
    <row r="37">
      <c r="A37" t="inlineStr" s="19">
        <is>
          <t xml:space="preserve">Free fixes per project · Monthly operating and hiring forecast</t>
        </is>
      </c>
      <c r="O37" s="20">
        <f>'Pricing and operating assumptio'!B17</f>
        <v>1</v>
      </c>
    </row>
    <row r="38">
      <c r="A38" t="inlineStr" s="19">
        <is>
          <t xml:space="preserve">Free project cost</t>
        </is>
      </c>
      <c r="B38" s="20">
        <f>'Model inputs'!B40*'Model inputs'!O13</f>
        <v>0</v>
      </c>
      <c r="C38" s="20">
        <f>'Model inputs'!C40*'Model inputs'!O13</f>
        <v>4.5</v>
      </c>
      <c r="D38" s="20">
        <f>'Model inputs'!D40*'Model inputs'!O13</f>
        <v>9</v>
      </c>
      <c r="E38" s="20">
        <f>'Model inputs'!E40*'Model inputs'!O13</f>
        <v>15</v>
      </c>
      <c r="F38" s="20">
        <f>'Model inputs'!F40*'Model inputs'!O13</f>
        <v>15</v>
      </c>
      <c r="G38" s="20">
        <f>'Model inputs'!G40*'Model inputs'!O13</f>
        <v>15</v>
      </c>
      <c r="H38" s="20">
        <f>'Model inputs'!H40*'Model inputs'!O13</f>
        <v>15</v>
      </c>
      <c r="I38" s="20">
        <f>'Model inputs'!I40*'Model inputs'!O13</f>
        <v>15</v>
      </c>
      <c r="J38" s="20">
        <f>'Model inputs'!J40*'Model inputs'!O13</f>
        <v>15</v>
      </c>
      <c r="K38" s="20">
        <f>'Model inputs'!K40*'Model inputs'!O13</f>
        <v>15</v>
      </c>
      <c r="L38" s="20">
        <f>'Model inputs'!L40*'Model inputs'!O13</f>
        <v>15</v>
      </c>
      <c r="M38" s="20">
        <f>'Model inputs'!M40*'Model inputs'!O13</f>
        <v>15</v>
      </c>
      <c r="N38" s="20">
        <f>'Model inputs'!N40*'Model inputs'!O13</f>
        <v>15</v>
      </c>
    </row>
    <row r="39">
      <c r="A39" t="inlineStr" s="19">
        <is>
          <t xml:space="preserve">Free projects</t>
        </is>
      </c>
      <c r="B39" s="20">
        <v>0</v>
      </c>
      <c r="C39" s="20">
        <f>'Monthly operating and hiring fo'!B6</f>
        <v>3</v>
      </c>
      <c r="D39" s="20">
        <f>'Monthly operating and hiring fo'!C6</f>
        <v>6</v>
      </c>
      <c r="E39" s="20">
        <f>'Monthly operating and hiring fo'!D6</f>
        <v>10</v>
      </c>
      <c r="F39" s="20">
        <f>'Monthly operating and hiring fo'!E6</f>
        <v>10</v>
      </c>
      <c r="G39" s="20">
        <f>'Monthly operating and hiring fo'!F6</f>
        <v>10</v>
      </c>
      <c r="H39" s="20">
        <f>'Monthly operating and hiring fo'!G6</f>
        <v>10</v>
      </c>
      <c r="I39" s="20">
        <f>'Monthly operating and hiring fo'!H6</f>
        <v>10</v>
      </c>
      <c r="J39" s="20">
        <f>'Monthly operating and hiring fo'!I6</f>
        <v>10</v>
      </c>
      <c r="K39" s="20">
        <f>'Monthly operating and hiring fo'!J6</f>
        <v>10</v>
      </c>
      <c r="L39" s="20">
        <f>'Monthly operating and hiring fo'!K6</f>
        <v>10</v>
      </c>
      <c r="M39" s="20">
        <f>'Monthly operating and hiring fo'!L6</f>
        <v>10</v>
      </c>
      <c r="N39" s="20">
        <f>'Monthly operating and hiring fo'!M6</f>
        <v>10</v>
      </c>
    </row>
    <row r="40">
      <c r="A40" t="inlineStr" s="19">
        <is>
          <t xml:space="preserve">Free successful fixes</t>
        </is>
      </c>
      <c r="B40" s="20">
        <f>'Model inputs'!B39*'Model inputs'!O37</f>
        <v>0</v>
      </c>
      <c r="C40" s="20">
        <f>'Model inputs'!C39*'Model inputs'!O37</f>
        <v>3</v>
      </c>
      <c r="D40" s="20">
        <f>'Model inputs'!D39*'Model inputs'!O37</f>
        <v>6</v>
      </c>
      <c r="E40" s="20">
        <f>'Model inputs'!E39*'Model inputs'!O37</f>
        <v>10</v>
      </c>
      <c r="F40" s="20">
        <f>'Model inputs'!F39*'Model inputs'!O37</f>
        <v>10</v>
      </c>
      <c r="G40" s="20">
        <f>'Model inputs'!G39*'Model inputs'!O37</f>
        <v>10</v>
      </c>
      <c r="H40" s="20">
        <f>'Model inputs'!H39*'Model inputs'!O37</f>
        <v>10</v>
      </c>
      <c r="I40" s="20">
        <f>'Model inputs'!I39*'Model inputs'!O37</f>
        <v>10</v>
      </c>
      <c r="J40" s="20">
        <f>'Model inputs'!J39*'Model inputs'!O37</f>
        <v>10</v>
      </c>
      <c r="K40" s="20">
        <f>'Model inputs'!K39*'Model inputs'!O37</f>
        <v>10</v>
      </c>
      <c r="L40" s="20">
        <f>'Model inputs'!L39*'Model inputs'!O37</f>
        <v>10</v>
      </c>
      <c r="M40" s="20">
        <f>'Model inputs'!M39*'Model inputs'!O37</f>
        <v>10</v>
      </c>
      <c r="N40" s="20">
        <f>'Model inputs'!N39*'Model inputs'!O37</f>
        <v>10</v>
      </c>
    </row>
    <row r="41">
      <c r="A41" t="inlineStr" s="19">
        <is>
          <t xml:space="preserve">Funding if hired at earliest month</t>
        </is>
      </c>
      <c r="B41" t="e" s="20">
        <f>IF(IF(IF(ISERROR('Model inputs'!B59=1),'Model inputs'!B59=1,IF('Model inputs'!B59="","",'Model inputs'!B59=1))="",FALSE,IF(ISERROR('Model inputs'!B59=1),'Model inputs'!B59=1,IF('Model inputs'!B59="","",'Model inputs'!B59=1))),MAX(0,-'Model inputs'!B14),MAX(0,-'Model inputs'!B14,'Model inputs'!W86))</f>
        <v>#VALUE!</v>
      </c>
      <c r="C41" s="20">
        <f>IF(IF(IF(ISERROR('Model inputs'!C59=1),'Model inputs'!C59=1,IF('Model inputs'!C59="","",'Model inputs'!C59=1))="",FALSE,IF(ISERROR('Model inputs'!C59=1),'Model inputs'!C59=1,IF('Model inputs'!C59="","",'Model inputs'!C59=1))),MAX(0,-'Model inputs'!C14),MAX(0,-'Model inputs'!C14,'Model inputs'!B41))</f>
        <v>154.5</v>
      </c>
      <c r="D41" s="20">
        <f>IF(IF(IF(ISERROR('Model inputs'!D59=1),'Model inputs'!D59=1,IF('Model inputs'!D59="","",'Model inputs'!D59=1))="",FALSE,IF(ISERROR('Model inputs'!D59=1),'Model inputs'!D59=1,IF('Model inputs'!D59="","",'Model inputs'!D59=1))),MAX(0,-'Model inputs'!D14),MAX(0,-'Model inputs'!D14,'Model inputs'!C41))</f>
        <v>154.5</v>
      </c>
      <c r="E41" s="20">
        <f>IF(IF(IF(ISERROR('Model inputs'!E59=1),'Model inputs'!E59=1,IF('Model inputs'!E59="","",'Model inputs'!E59=1))="",FALSE,IF(ISERROR('Model inputs'!E59=1),'Model inputs'!E59=1,IF('Model inputs'!E59="","",'Model inputs'!E59=1))),MAX(0,-'Model inputs'!E14),MAX(0,-'Model inputs'!E14,'Model inputs'!D41))</f>
        <v>154.5</v>
      </c>
      <c r="F41" s="20">
        <f>IF(IF(IF(ISERROR('Model inputs'!F59=1),'Model inputs'!F59=1,IF('Model inputs'!F59="","",'Model inputs'!F59=1))="",FALSE,IF(ISERROR('Model inputs'!F59=1),'Model inputs'!F59=1,IF('Model inputs'!F59="","",'Model inputs'!F59=1))),MAX(0,-'Model inputs'!F14),MAX(0,-'Model inputs'!F14,'Model inputs'!E41))</f>
        <v>154.5</v>
      </c>
      <c r="G41" s="20">
        <f>IF(IF(IF(ISERROR('Model inputs'!G59=1),'Model inputs'!G59=1,IF('Model inputs'!G59="","",'Model inputs'!G59=1))="",FALSE,IF(ISERROR('Model inputs'!G59=1),'Model inputs'!G59=1,IF('Model inputs'!G59="","",'Model inputs'!G59=1))),MAX(0,-'Model inputs'!G14),MAX(0,-'Model inputs'!G14,'Model inputs'!F41))</f>
        <v>154.5</v>
      </c>
      <c r="H41" s="20">
        <f>IF(IF(IF(ISERROR('Model inputs'!H59=1),'Model inputs'!H59=1,IF('Model inputs'!H59="","",'Model inputs'!H59=1))="",FALSE,IF(ISERROR('Model inputs'!H59=1),'Model inputs'!H59=1,IF('Model inputs'!H59="","",'Model inputs'!H59=1))),MAX(0,-'Model inputs'!H14),MAX(0,-'Model inputs'!H14,'Model inputs'!G41))</f>
        <v>154.5</v>
      </c>
      <c r="I41" s="20">
        <f>IF(IF(IF(ISERROR('Model inputs'!I59=1),'Model inputs'!I59=1,IF('Model inputs'!I59="","",'Model inputs'!I59=1))="",FALSE,IF(ISERROR('Model inputs'!I59=1),'Model inputs'!I59=1,IF('Model inputs'!I59="","",'Model inputs'!I59=1))),MAX(0,-'Model inputs'!I14),MAX(0,-'Model inputs'!I14,'Model inputs'!H41))</f>
        <v>906.5</v>
      </c>
      <c r="J41" s="20">
        <f>IF(IF(IF(ISERROR('Model inputs'!J59=1),'Model inputs'!J59=1,IF('Model inputs'!J59="","",'Model inputs'!J59=1))="",FALSE,IF(ISERROR('Model inputs'!J59=1),'Model inputs'!J59=1,IF('Model inputs'!J59="","",'Model inputs'!J59=1))),MAX(0,-'Model inputs'!J14),MAX(0,-'Model inputs'!J14,'Model inputs'!I41))</f>
        <v>3047.5</v>
      </c>
      <c r="K41" s="20">
        <f>IF(IF(IF(ISERROR('Model inputs'!K59=1),'Model inputs'!K59=1,IF('Model inputs'!K59="","",'Model inputs'!K59=1))="",FALSE,IF(ISERROR('Model inputs'!K59=1),'Model inputs'!K59=1,IF('Model inputs'!K59="","",'Model inputs'!K59=1))),MAX(0,-'Model inputs'!K14),MAX(0,-'Model inputs'!K14,'Model inputs'!J41))</f>
        <v>4452.5</v>
      </c>
      <c r="L41" s="20">
        <f>IF(IF(IF(ISERROR('Model inputs'!L59=1),'Model inputs'!L59=1,IF('Model inputs'!L59="","",'Model inputs'!L59=1))="",FALSE,IF(ISERROR('Model inputs'!L59=1),'Model inputs'!L59=1,IF('Model inputs'!L59="","",'Model inputs'!L59=1))),MAX(0,-'Model inputs'!L14),MAX(0,-'Model inputs'!L14,'Model inputs'!K41))</f>
        <v>10937.5</v>
      </c>
      <c r="M41" s="20">
        <f>IF(IF(IF(ISERROR('Model inputs'!M59=1),'Model inputs'!M59=1,IF('Model inputs'!M59="","",'Model inputs'!M59=1))="",FALSE,IF(ISERROR('Model inputs'!M59=1),'Model inputs'!M59=1,IF('Model inputs'!M59="","",'Model inputs'!M59=1))),MAX(0,-'Model inputs'!M14),MAX(0,-'Model inputs'!M14,'Model inputs'!L41))</f>
        <v>16502.5</v>
      </c>
      <c r="N41" s="20">
        <f>IF(IF(IF(ISERROR('Model inputs'!N59=1),'Model inputs'!N59=1,IF('Model inputs'!N59="","",'Model inputs'!N59=1))="",FALSE,IF(ISERROR('Model inputs'!N59=1),'Model inputs'!N59=1,IF('Model inputs'!N59="","",'Model inputs'!N59=1))),MAX(0,-'Model inputs'!N14),MAX(0,-'Model inputs'!N14,'Model inputs'!M41))</f>
        <v>21147.5</v>
      </c>
    </row>
    <row r="42">
      <c r="A42" t="inlineStr" s="19">
        <is>
          <t xml:space="preserve">Gross profit</t>
        </is>
      </c>
      <c r="B42" s="20">
        <f>'Model inputs'!B62-'Model inputs'!B52</f>
        <v>0</v>
      </c>
      <c r="C42" s="20">
        <f>'Model inputs'!C62-'Model inputs'!C52</f>
        <v>0</v>
      </c>
      <c r="D42" s="20">
        <f>'Model inputs'!D62-'Model inputs'!D52</f>
        <v>184</v>
      </c>
      <c r="E42" s="20">
        <f>'Model inputs'!E62-'Model inputs'!E52</f>
        <v>368</v>
      </c>
      <c r="F42" s="20">
        <f>'Model inputs'!F62-'Model inputs'!F52</f>
        <v>552</v>
      </c>
      <c r="G42" s="20">
        <f>'Model inputs'!G62-'Model inputs'!G52</f>
        <v>736</v>
      </c>
      <c r="H42" s="20">
        <f>'Model inputs'!H62-'Model inputs'!H52</f>
        <v>920</v>
      </c>
      <c r="I42" s="20">
        <f>'Model inputs'!I62-'Model inputs'!I52</f>
        <v>1472</v>
      </c>
      <c r="J42" s="20">
        <f>'Model inputs'!J62-'Model inputs'!J52</f>
        <v>2024</v>
      </c>
      <c r="K42" s="20">
        <f>'Model inputs'!K62-'Model inputs'!K52</f>
        <v>2760</v>
      </c>
      <c r="L42" s="20">
        <f>'Model inputs'!L62-'Model inputs'!L52</f>
        <v>3680</v>
      </c>
      <c r="M42" s="20">
        <f>'Model inputs'!M62-'Model inputs'!M52</f>
        <v>4600</v>
      </c>
      <c r="N42" s="20">
        <f>'Model inputs'!N62-'Model inputs'!N52</f>
        <v>5520</v>
      </c>
    </row>
    <row r="43">
      <c r="A43" t="inlineStr" s="19">
        <is>
          <t xml:space="preserve">Included fixes per team · Monthly operating and hiring forecast</t>
        </is>
      </c>
      <c r="O43" s="8">
        <f>'Pricing and operating assumptio'!B6</f>
        <v>10</v>
      </c>
    </row>
    <row r="44">
      <c r="A44" t="inlineStr" s="19">
        <is>
          <t xml:space="preserve">Minimum funding to date · Main Scenario</t>
        </is>
      </c>
      <c r="B44" t="e" s="15">
        <f>IF(IF(IF(ISERROR('Model inputs'!B59=1),'Model inputs'!B59=1,IF('Model inputs'!B59="","",'Model inputs'!B59=1))="",FALSE,IF(ISERROR('Model inputs'!B59=1),'Model inputs'!B59=1,IF('Model inputs'!B59="","",'Model inputs'!B59=1))),MAX(0,-'Model inputs'!B15),MAX(0,-'Model inputs'!B15,'Model inputs'!W89))</f>
        <v>#VALUE!</v>
      </c>
      <c r="C44" s="15">
        <f>IF(IF(IF(ISERROR('Model inputs'!C59=1),'Model inputs'!C59=1,IF('Model inputs'!C59="","",'Model inputs'!C59=1))="",FALSE,IF(ISERROR('Model inputs'!C59=1),'Model inputs'!C59=1,IF('Model inputs'!C59="","",'Model inputs'!C59=1))),MAX(0,-'Model inputs'!C15),MAX(0,-'Model inputs'!C15,'Model inputs'!B44))</f>
        <v>154.5</v>
      </c>
      <c r="D44" s="15">
        <f>IF(IF(IF(ISERROR('Model inputs'!D59=1),'Model inputs'!D59=1,IF('Model inputs'!D59="","",'Model inputs'!D59=1))="",FALSE,IF(ISERROR('Model inputs'!D59=1),'Model inputs'!D59=1,IF('Model inputs'!D59="","",'Model inputs'!D59=1))),MAX(0,-'Model inputs'!D15),MAX(0,-'Model inputs'!D15,'Model inputs'!C44))</f>
        <v>154.5</v>
      </c>
      <c r="E44" s="15">
        <f>IF(IF(IF(ISERROR('Model inputs'!E59=1),'Model inputs'!E59=1,IF('Model inputs'!E59="","",'Model inputs'!E59=1))="",FALSE,IF(ISERROR('Model inputs'!E59=1),'Model inputs'!E59=1,IF('Model inputs'!E59="","",'Model inputs'!E59=1))),MAX(0,-'Model inputs'!E15),MAX(0,-'Model inputs'!E15,'Model inputs'!D44))</f>
        <v>154.5</v>
      </c>
      <c r="F44" s="15">
        <f>IF(IF(IF(ISERROR('Model inputs'!F59=1),'Model inputs'!F59=1,IF('Model inputs'!F59="","",'Model inputs'!F59=1))="",FALSE,IF(ISERROR('Model inputs'!F59=1),'Model inputs'!F59=1,IF('Model inputs'!F59="","",'Model inputs'!F59=1))),MAX(0,-'Model inputs'!F15),MAX(0,-'Model inputs'!F15,'Model inputs'!E44))</f>
        <v>154.5</v>
      </c>
      <c r="G44" s="15">
        <f>IF(IF(IF(ISERROR('Model inputs'!G59=1),'Model inputs'!G59=1,IF('Model inputs'!G59="","",'Model inputs'!G59=1))="",FALSE,IF(ISERROR('Model inputs'!G59=1),'Model inputs'!G59=1,IF('Model inputs'!G59="","",'Model inputs'!G59=1))),MAX(0,-'Model inputs'!G15),MAX(0,-'Model inputs'!G15,'Model inputs'!F44))</f>
        <v>154.5</v>
      </c>
      <c r="H44" s="15">
        <f>IF(IF(IF(ISERROR('Model inputs'!H59=1),'Model inputs'!H59=1,IF('Model inputs'!H59="","",'Model inputs'!H59=1))="",FALSE,IF(ISERROR('Model inputs'!H59=1),'Model inputs'!H59=1,IF('Model inputs'!H59="","",'Model inputs'!H59=1))),MAX(0,-'Model inputs'!H15),MAX(0,-'Model inputs'!H15,'Model inputs'!G44))</f>
        <v>154.5</v>
      </c>
      <c r="I44" s="15">
        <f>IF(IF(IF(ISERROR('Model inputs'!I59=1),'Model inputs'!I59=1,IF('Model inputs'!I59="","",'Model inputs'!I59=1))="",FALSE,IF(ISERROR('Model inputs'!I59=1),'Model inputs'!I59=1,IF('Model inputs'!I59="","",'Model inputs'!I59=1))),MAX(0,-'Model inputs'!I15),MAX(0,-'Model inputs'!I15,'Model inputs'!H44))</f>
        <v>906.5</v>
      </c>
      <c r="J44" s="15">
        <f>IF(IF(IF(ISERROR('Model inputs'!J59=1),'Model inputs'!J59=1,IF('Model inputs'!J59="","",'Model inputs'!J59=1))="",FALSE,IF(ISERROR('Model inputs'!J59=1),'Model inputs'!J59=1,IF('Model inputs'!J59="","",'Model inputs'!J59=1))),MAX(0,-'Model inputs'!J15),MAX(0,-'Model inputs'!J15,'Model inputs'!I44))</f>
        <v>3047.5</v>
      </c>
      <c r="K44" s="15">
        <f>IF(IF(IF(ISERROR('Model inputs'!K59=1),'Model inputs'!K59=1,IF('Model inputs'!K59="","",'Model inputs'!K59=1))="",FALSE,IF(ISERROR('Model inputs'!K59=1),'Model inputs'!K59=1,IF('Model inputs'!K59="","",'Model inputs'!K59=1))),MAX(0,-'Model inputs'!K15),MAX(0,-'Model inputs'!K15,'Model inputs'!J44))</f>
        <v>4452.5</v>
      </c>
      <c r="L44" s="15">
        <f>IF(IF(IF(ISERROR('Model inputs'!L59=1),'Model inputs'!L59=1,IF('Model inputs'!L59="","",'Model inputs'!L59=1))="",FALSE,IF(ISERROR('Model inputs'!L59=1),'Model inputs'!L59=1,IF('Model inputs'!L59="","",'Model inputs'!L59=1))),MAX(0,-'Model inputs'!L15),MAX(0,-'Model inputs'!L15,'Model inputs'!K44))</f>
        <v>4937.5</v>
      </c>
      <c r="M44" s="15">
        <f>IF(IF(IF(ISERROR('Model inputs'!M59=1),'Model inputs'!M59=1,IF('Model inputs'!M59="","",'Model inputs'!M59=1))="",FALSE,IF(ISERROR('Model inputs'!M59=1),'Model inputs'!M59=1,IF('Model inputs'!M59="","",'Model inputs'!M59=1))),MAX(0,-'Model inputs'!M15),MAX(0,-'Model inputs'!M15,'Model inputs'!L44))</f>
        <v>4937.5</v>
      </c>
      <c r="N44" s="15">
        <f>IF(IF(IF(ISERROR('Model inputs'!N59=1),'Model inputs'!N59=1,IF('Model inputs'!N59="","",'Model inputs'!N59=1))="",FALSE,IF(ISERROR('Model inputs'!N59=1),'Model inputs'!N59=1,IF('Model inputs'!N59="","",'Model inputs'!N59=1))),MAX(0,-'Model inputs'!N15),MAX(0,-'Model inputs'!N15,'Model inputs'!M44))</f>
        <v>4937.5</v>
      </c>
    </row>
    <row r="45">
      <c r="A45" t="inlineStr" s="19">
        <is>
          <t xml:space="preserve">Minimum funding to date · Upside</t>
        </is>
      </c>
      <c r="B45" t="e" s="15">
        <f>IF(IF(IF(ISERROR('Model inputs'!B60=1),'Model inputs'!B60=1,IF('Model inputs'!B60="","",'Model inputs'!B60=1))="",FALSE,IF(ISERROR('Model inputs'!B60=1),'Model inputs'!B60=1,IF('Model inputs'!B60="","",'Model inputs'!B60=1))),MAX(0,-'Model inputs'!B16),MAX(0,-'Model inputs'!B16,'Model inputs'!W90))</f>
        <v>#VALUE!</v>
      </c>
      <c r="C45" s="15">
        <f>IF(IF(IF(ISERROR('Model inputs'!C60=1),'Model inputs'!C60=1,IF('Model inputs'!C60="","",'Model inputs'!C60=1))="",FALSE,IF(ISERROR('Model inputs'!C60=1),'Model inputs'!C60=1,IF('Model inputs'!C60="","",'Model inputs'!C60=1))),MAX(0,-'Model inputs'!C16),MAX(0,-'Model inputs'!C16,'Model inputs'!B45))</f>
        <v>0</v>
      </c>
      <c r="D45" s="15">
        <f>IF(IF(IF(ISERROR('Model inputs'!D60=1),'Model inputs'!D60=1,IF('Model inputs'!D60="","",'Model inputs'!D60=1))="",FALSE,IF(ISERROR('Model inputs'!D60=1),'Model inputs'!D60=1,IF('Model inputs'!D60="","",'Model inputs'!D60=1))),MAX(0,-'Model inputs'!D16),MAX(0,-'Model inputs'!D16,'Model inputs'!C45))</f>
        <v>0</v>
      </c>
      <c r="E45" s="15">
        <f>IF(IF(IF(ISERROR('Model inputs'!E60=1),'Model inputs'!E60=1,IF('Model inputs'!E60="","",'Model inputs'!E60=1))="",FALSE,IF(ISERROR('Model inputs'!E60=1),'Model inputs'!E60=1,IF('Model inputs'!E60="","",'Model inputs'!E60=1))),MAX(0,-'Model inputs'!E16),MAX(0,-'Model inputs'!E16,'Model inputs'!D45))</f>
        <v>0</v>
      </c>
      <c r="F45" s="15">
        <f>IF(IF(IF(ISERROR('Model inputs'!F60=1),'Model inputs'!F60=1,IF('Model inputs'!F60="","",'Model inputs'!F60=1))="",FALSE,IF(ISERROR('Model inputs'!F60=1),'Model inputs'!F60=1,IF('Model inputs'!F60="","",'Model inputs'!F60=1))),MAX(0,-'Model inputs'!F16),MAX(0,-'Model inputs'!F16,'Model inputs'!E45))</f>
        <v>0</v>
      </c>
      <c r="G45" s="15">
        <f>IF(IF(IF(ISERROR('Model inputs'!G60=1),'Model inputs'!G60=1,IF('Model inputs'!G60="","",'Model inputs'!G60=1))="",FALSE,IF(ISERROR('Model inputs'!G60=1),'Model inputs'!G60=1,IF('Model inputs'!G60="","",'Model inputs'!G60=1))),MAX(0,-'Model inputs'!G16),MAX(0,-'Model inputs'!G16,'Model inputs'!F45))</f>
        <v>0</v>
      </c>
      <c r="H45" s="15">
        <f>IF(IF(IF(ISERROR('Model inputs'!H60=1),'Model inputs'!H60=1,IF('Model inputs'!H60="","",'Model inputs'!H60=1))="",FALSE,IF(ISERROR('Model inputs'!H60=1),'Model inputs'!H60=1,IF('Model inputs'!H60="","",'Model inputs'!H60=1))),MAX(0,-'Model inputs'!H16),MAX(0,-'Model inputs'!H16,'Model inputs'!G45))</f>
        <v>0</v>
      </c>
      <c r="I45" s="15">
        <f>IF(IF(IF(ISERROR('Model inputs'!I60=1),'Model inputs'!I60=1,IF('Model inputs'!I60="","",'Model inputs'!I60=1))="",FALSE,IF(ISERROR('Model inputs'!I60=1),'Model inputs'!I60=1,IF('Model inputs'!I60="","",'Model inputs'!I60=1))),MAX(0,-'Model inputs'!I16),MAX(0,-'Model inputs'!I16,'Model inputs'!H45))</f>
        <v>0</v>
      </c>
      <c r="J45" s="15">
        <f>IF(IF(IF(ISERROR('Model inputs'!J60=1),'Model inputs'!J60=1,IF('Model inputs'!J60="","",'Model inputs'!J60=1))="",FALSE,IF(ISERROR('Model inputs'!J60=1),'Model inputs'!J60=1,IF('Model inputs'!J60="","",'Model inputs'!J60=1))),MAX(0,-'Model inputs'!J16),MAX(0,-'Model inputs'!J16,'Model inputs'!I45))</f>
        <v>0</v>
      </c>
      <c r="K45" s="15">
        <f>IF(IF(IF(ISERROR('Model inputs'!K60=1),'Model inputs'!K60=1,IF('Model inputs'!K60="","",'Model inputs'!K60=1))="",FALSE,IF(ISERROR('Model inputs'!K60=1),'Model inputs'!K60=1,IF('Model inputs'!K60="","",'Model inputs'!K60=1))),MAX(0,-'Model inputs'!K16),MAX(0,-'Model inputs'!K16,'Model inputs'!J45))</f>
        <v>0</v>
      </c>
      <c r="L45" s="15">
        <f>IF(IF(IF(ISERROR('Model inputs'!L60=1),'Model inputs'!L60=1,IF('Model inputs'!L60="","",'Model inputs'!L60=1))="",FALSE,IF(ISERROR('Model inputs'!L60=1),'Model inputs'!L60=1,IF('Model inputs'!L60="","",'Model inputs'!L60=1))),MAX(0,-'Model inputs'!L16),MAX(0,-'Model inputs'!L16,'Model inputs'!K45))</f>
        <v>0</v>
      </c>
      <c r="M45" s="15">
        <f>IF(IF(IF(ISERROR('Model inputs'!M60=1),'Model inputs'!M60=1,IF('Model inputs'!M60="","",'Model inputs'!M60=1))="",FALSE,IF(ISERROR('Model inputs'!M60=1),'Model inputs'!M60=1,IF('Model inputs'!M60="","",'Model inputs'!M60=1))),MAX(0,-'Model inputs'!M16),MAX(0,-'Model inputs'!M16,'Model inputs'!L45))</f>
        <v>0</v>
      </c>
      <c r="N45" s="15">
        <f>IF(IF(IF(ISERROR('Model inputs'!N60=1),'Model inputs'!N60=1,IF('Model inputs'!N60="","",'Model inputs'!N60=1))="",FALSE,IF(ISERROR('Model inputs'!N60=1),'Model inputs'!N60=1,IF('Model inputs'!N60="","",'Model inputs'!N60=1))),MAX(0,-'Model inputs'!N16),MAX(0,-'Model inputs'!N16,'Model inputs'!M45))</f>
        <v>0</v>
      </c>
    </row>
    <row r="46">
      <c r="A46" t="inlineStr" s="19">
        <is>
          <t xml:space="preserve">Minimum funding to date · Downside</t>
        </is>
      </c>
      <c r="B46" t="e" s="15">
        <f>IF(IF(IF(ISERROR('Model inputs'!B61=1),'Model inputs'!B61=1,IF('Model inputs'!B61="","",'Model inputs'!B61=1))="",FALSE,IF(ISERROR('Model inputs'!B61=1),'Model inputs'!B61=1,IF('Model inputs'!B61="","",'Model inputs'!B61=1))),MAX(0,-'Model inputs'!B17),MAX(0,-'Model inputs'!B17,'Model inputs'!W91))</f>
        <v>#VALUE!</v>
      </c>
      <c r="C46" s="15">
        <f>IF(IF(IF(ISERROR('Model inputs'!C61=1),'Model inputs'!C61=1,IF('Model inputs'!C61="","",'Model inputs'!C61=1))="",FALSE,IF(ISERROR('Model inputs'!C61=1),'Model inputs'!C61=1,IF('Model inputs'!C61="","",'Model inputs'!C61=1))),MAX(0,-'Model inputs'!C17),MAX(0,-'Model inputs'!C17,'Model inputs'!B46))</f>
        <v>154.5</v>
      </c>
      <c r="D46" s="15">
        <f>IF(IF(IF(ISERROR('Model inputs'!D61=1),'Model inputs'!D61=1,IF('Model inputs'!D61="","",'Model inputs'!D61=1))="",FALSE,IF(ISERROR('Model inputs'!D61=1),'Model inputs'!D61=1,IF('Model inputs'!D61="","",'Model inputs'!D61=1))),MAX(0,-'Model inputs'!D17),MAX(0,-'Model inputs'!D17,'Model inputs'!C46))</f>
        <v>313.5</v>
      </c>
      <c r="E46" s="15">
        <f>IF(IF(IF(ISERROR('Model inputs'!E61=1),'Model inputs'!E61=1,IF('Model inputs'!E61="","",'Model inputs'!E61=1))="",FALSE,IF(ISERROR('Model inputs'!E61=1),'Model inputs'!E61=1,IF('Model inputs'!E61="","",'Model inputs'!E61=1))),MAX(0,-'Model inputs'!E17),MAX(0,-'Model inputs'!E17,'Model inputs'!D46))</f>
        <v>313.5</v>
      </c>
      <c r="F46" s="15">
        <f>IF(IF(IF(ISERROR('Model inputs'!F61=1),'Model inputs'!F61=1,IF('Model inputs'!F61="","",'Model inputs'!F61=1))="",FALSE,IF(ISERROR('Model inputs'!F61=1),'Model inputs'!F61=1,IF('Model inputs'!F61="","",'Model inputs'!F61=1))),MAX(0,-'Model inputs'!F17),MAX(0,-'Model inputs'!F17,'Model inputs'!E46))</f>
        <v>313.5</v>
      </c>
      <c r="G46" s="15">
        <f>IF(IF(IF(ISERROR('Model inputs'!G61=1),'Model inputs'!G61=1,IF('Model inputs'!G61="","",'Model inputs'!G61=1))="",FALSE,IF(ISERROR('Model inputs'!G61=1),'Model inputs'!G61=1,IF('Model inputs'!G61="","",'Model inputs'!G61=1))),MAX(0,-'Model inputs'!G17),MAX(0,-'Model inputs'!G17,'Model inputs'!F46))</f>
        <v>313.5</v>
      </c>
      <c r="H46" s="15">
        <f>IF(IF(IF(ISERROR('Model inputs'!H61=1),'Model inputs'!H61=1,IF('Model inputs'!H61="","",'Model inputs'!H61=1))="",FALSE,IF(ISERROR('Model inputs'!H61=1),'Model inputs'!H61=1,IF('Model inputs'!H61="","",'Model inputs'!H61=1))),MAX(0,-'Model inputs'!H17),MAX(0,-'Model inputs'!H17,'Model inputs'!G46))</f>
        <v>313.5</v>
      </c>
      <c r="I46" s="15">
        <f>IF(IF(IF(ISERROR('Model inputs'!I61=1),'Model inputs'!I61=1,IF('Model inputs'!I61="","",'Model inputs'!I61=1))="",FALSE,IF(ISERROR('Model inputs'!I61=1),'Model inputs'!I61=1,IF('Model inputs'!I61="","",'Model inputs'!I61=1))),MAX(0,-'Model inputs'!I17),MAX(0,-'Model inputs'!I17,'Model inputs'!H46))</f>
        <v>3482.5</v>
      </c>
      <c r="J46" s="15">
        <f>IF(IF(IF(ISERROR('Model inputs'!J61=1),'Model inputs'!J61=1,IF('Model inputs'!J61="","",'Model inputs'!J61=1))="",FALSE,IF(ISERROR('Model inputs'!J61=1),'Model inputs'!J61=1,IF('Model inputs'!J61="","",'Model inputs'!J61=1))),MAX(0,-'Model inputs'!J17),MAX(0,-'Model inputs'!J17,'Model inputs'!I46))</f>
        <v>6911.5</v>
      </c>
      <c r="K46" s="15">
        <f>IF(IF(IF(ISERROR('Model inputs'!K61=1),'Model inputs'!K61=1,IF('Model inputs'!K61="","",'Model inputs'!K61=1))="",FALSE,IF(ISERROR('Model inputs'!K61=1),'Model inputs'!K61=1,IF('Model inputs'!K61="","",'Model inputs'!K61=1))),MAX(0,-'Model inputs'!K17),MAX(0,-'Model inputs'!K17,'Model inputs'!J46))</f>
        <v>10156.5</v>
      </c>
      <c r="L46" s="15">
        <f>IF(IF(IF(ISERROR('Model inputs'!L61=1),'Model inputs'!L61=1,IF('Model inputs'!L61="","",'Model inputs'!L61=1))="",FALSE,IF(ISERROR('Model inputs'!L61=1),'Model inputs'!L61=1,IF('Model inputs'!L61="","",'Model inputs'!L61=1))),MAX(0,-'Model inputs'!L17),MAX(0,-'Model inputs'!L17,'Model inputs'!K46))</f>
        <v>13033.5</v>
      </c>
      <c r="M46" s="15">
        <f>IF(IF(IF(ISERROR('Model inputs'!M61=1),'Model inputs'!M61=1,IF('Model inputs'!M61="","",'Model inputs'!M61=1))="",FALSE,IF(ISERROR('Model inputs'!M61=1),'Model inputs'!M61=1,IF('Model inputs'!M61="","",'Model inputs'!M61=1))),MAX(0,-'Model inputs'!M17),MAX(0,-'Model inputs'!M17,'Model inputs'!L46))</f>
        <v>15542.5</v>
      </c>
      <c r="N46" s="15">
        <f>IF(IF(IF(ISERROR('Model inputs'!N61=1),'Model inputs'!N61=1,IF('Model inputs'!N61="","",'Model inputs'!N61=1))="",FALSE,IF(ISERROR('Model inputs'!N61=1),'Model inputs'!N61=1,IF('Model inputs'!N61="","",'Model inputs'!N61=1))),MAX(0,-'Model inputs'!N17),MAX(0,-'Model inputs'!N17,'Model inputs'!M46))</f>
        <v>17499.5</v>
      </c>
    </row>
    <row r="47">
      <c r="A47" t="inlineStr" s="19">
        <is>
          <t xml:space="preserve">Monthly hosting · Monthly operating and hiring forecast</t>
        </is>
      </c>
      <c r="O47" s="20">
        <f>'Pricing and operating assumptio'!B11</f>
        <v>50</v>
      </c>
    </row>
    <row r="48">
      <c r="A48" t="inlineStr" s="19">
        <is>
          <t xml:space="preserve">Monthly tools · Monthly operating and hiring forecast</t>
        </is>
      </c>
      <c r="O48" s="20">
        <f>'Pricing and operating assumptio'!B12</f>
        <v>100</v>
      </c>
    </row>
    <row r="49">
      <c r="A49" t="inlineStr" s="19">
        <is>
          <t xml:space="preserve">Operating cash flow · Main Scenario</t>
        </is>
      </c>
      <c r="B49" t="e" s="15">
        <f>'Model inputs'!B6-'Model inputs'!B21</f>
        <v>#VALUE!</v>
      </c>
      <c r="C49" s="15">
        <f>'Model inputs'!C6-'Model inputs'!C21</f>
        <v>-154.5</v>
      </c>
      <c r="D49" s="15">
        <f>'Model inputs'!D6-'Model inputs'!D21</f>
        <v>25</v>
      </c>
      <c r="E49" s="15">
        <f>'Model inputs'!E6-'Model inputs'!E21</f>
        <v>203</v>
      </c>
      <c r="F49" s="15">
        <f>'Model inputs'!F6-'Model inputs'!F21</f>
        <v>387</v>
      </c>
      <c r="G49" s="15">
        <f>'Model inputs'!G6-'Model inputs'!G21</f>
        <v>571</v>
      </c>
      <c r="H49" s="15">
        <f>'Model inputs'!H6-'Model inputs'!H21</f>
        <v>755</v>
      </c>
      <c r="I49" s="15">
        <f>'Model inputs'!I6-'Model inputs'!I21</f>
        <v>-2693</v>
      </c>
      <c r="J49" s="15">
        <f>'Model inputs'!J6-'Model inputs'!J21</f>
        <v>-2141</v>
      </c>
      <c r="K49" s="15">
        <f>'Model inputs'!K6-'Model inputs'!K21</f>
        <v>-1405</v>
      </c>
      <c r="L49" s="15">
        <f>'Model inputs'!L6-'Model inputs'!L21</f>
        <v>-485</v>
      </c>
      <c r="M49" s="15">
        <f>'Model inputs'!M6-'Model inputs'!M21</f>
        <v>435</v>
      </c>
      <c r="N49" s="15">
        <f>'Model inputs'!N6-'Model inputs'!N21</f>
        <v>1355</v>
      </c>
    </row>
    <row r="50">
      <c r="A50" t="inlineStr" s="19">
        <is>
          <t xml:space="preserve">Operating cash flow · Upside</t>
        </is>
      </c>
      <c r="B50" t="e" s="15">
        <f>'Model inputs'!B7-'Model inputs'!B22</f>
        <v>#VALUE!</v>
      </c>
      <c r="C50" s="15">
        <f>'Model inputs'!C7-'Model inputs'!C22</f>
        <v>29.5</v>
      </c>
      <c r="D50" s="15">
        <f>'Model inputs'!D7-'Model inputs'!D22</f>
        <v>209</v>
      </c>
      <c r="E50" s="15">
        <f>'Model inputs'!E7-'Model inputs'!E22</f>
        <v>571</v>
      </c>
      <c r="F50" s="15">
        <f>'Model inputs'!F7-'Model inputs'!F22</f>
        <v>939</v>
      </c>
      <c r="G50" s="15">
        <f>'Model inputs'!G7-'Model inputs'!G22</f>
        <v>1491</v>
      </c>
      <c r="H50" s="15">
        <f>'Model inputs'!H7-'Model inputs'!H22</f>
        <v>2043</v>
      </c>
      <c r="I50" s="15">
        <f>'Model inputs'!I7-'Model inputs'!I22</f>
        <v>-1037</v>
      </c>
      <c r="J50" s="15">
        <f>'Model inputs'!J7-'Model inputs'!J22</f>
        <v>67</v>
      </c>
      <c r="K50" s="15">
        <f>'Model inputs'!K7-'Model inputs'!K22</f>
        <v>1355</v>
      </c>
      <c r="L50" s="15">
        <f>'Model inputs'!L7-'Model inputs'!L22</f>
        <v>3195</v>
      </c>
      <c r="M50" s="15">
        <f>'Model inputs'!M7-'Model inputs'!M22</f>
        <v>5035</v>
      </c>
      <c r="N50" s="15">
        <f>'Model inputs'!N7-'Model inputs'!N22</f>
        <v>875</v>
      </c>
    </row>
    <row r="51">
      <c r="A51" t="inlineStr" s="19">
        <is>
          <t xml:space="preserve">Operating cash flow · Downside</t>
        </is>
      </c>
      <c r="B51" t="e" s="15">
        <f>'Model inputs'!B8-'Model inputs'!B23</f>
        <v>#VALUE!</v>
      </c>
      <c r="C51" s="15">
        <f>'Model inputs'!C8-'Model inputs'!C23</f>
        <v>-154.5</v>
      </c>
      <c r="D51" s="15">
        <f>'Model inputs'!D8-'Model inputs'!D23</f>
        <v>-159</v>
      </c>
      <c r="E51" s="15">
        <f>'Model inputs'!E8-'Model inputs'!E23</f>
        <v>19</v>
      </c>
      <c r="F51" s="15">
        <f>'Model inputs'!F8-'Model inputs'!F23</f>
        <v>19</v>
      </c>
      <c r="G51" s="15">
        <f>'Model inputs'!G8-'Model inputs'!G23</f>
        <v>203</v>
      </c>
      <c r="H51" s="15">
        <f>'Model inputs'!H8-'Model inputs'!H23</f>
        <v>203</v>
      </c>
      <c r="I51" s="15">
        <f>'Model inputs'!I8-'Model inputs'!I23</f>
        <v>-3613</v>
      </c>
      <c r="J51" s="15">
        <f>'Model inputs'!J8-'Model inputs'!J23</f>
        <v>-3429</v>
      </c>
      <c r="K51" s="15">
        <f>'Model inputs'!K8-'Model inputs'!K23</f>
        <v>-3245</v>
      </c>
      <c r="L51" s="15">
        <f>'Model inputs'!L8-'Model inputs'!L23</f>
        <v>-2877</v>
      </c>
      <c r="M51" s="15">
        <f>'Model inputs'!M8-'Model inputs'!M23</f>
        <v>-2509</v>
      </c>
      <c r="N51" s="15">
        <f>'Model inputs'!N8-'Model inputs'!N23</f>
        <v>-1957</v>
      </c>
    </row>
    <row r="52">
      <c r="A52" t="inlineStr" s="19">
        <is>
          <t xml:space="preserve">Paid delivery cost</t>
        </is>
      </c>
      <c r="B52" s="20">
        <f>('Model inputs'!B68+'Model inputs'!B32+'Model inputs'!B53)*'Model inputs'!O13</f>
        <v>0</v>
      </c>
      <c r="C52" s="20">
        <f>('Model inputs'!C68+'Model inputs'!C32+'Model inputs'!C53)*'Model inputs'!O13</f>
        <v>0</v>
      </c>
      <c r="D52" s="20">
        <f>('Model inputs'!D68+'Model inputs'!D32+'Model inputs'!D53)*'Model inputs'!O13</f>
        <v>15</v>
      </c>
      <c r="E52" s="20">
        <f>('Model inputs'!E68+'Model inputs'!E32+'Model inputs'!E53)*'Model inputs'!O13</f>
        <v>30</v>
      </c>
      <c r="F52" s="20">
        <f>('Model inputs'!F68+'Model inputs'!F32+'Model inputs'!F53)*'Model inputs'!O13</f>
        <v>45</v>
      </c>
      <c r="G52" s="20">
        <f>('Model inputs'!G68+'Model inputs'!G32+'Model inputs'!G53)*'Model inputs'!O13</f>
        <v>60</v>
      </c>
      <c r="H52" s="20">
        <f>('Model inputs'!H68+'Model inputs'!H32+'Model inputs'!H53)*'Model inputs'!O13</f>
        <v>75</v>
      </c>
      <c r="I52" s="20">
        <f>('Model inputs'!I68+'Model inputs'!I32+'Model inputs'!I53)*'Model inputs'!O13</f>
        <v>120</v>
      </c>
      <c r="J52" s="20">
        <f>('Model inputs'!J68+'Model inputs'!J32+'Model inputs'!J53)*'Model inputs'!O13</f>
        <v>165</v>
      </c>
      <c r="K52" s="20">
        <f>('Model inputs'!K68+'Model inputs'!K32+'Model inputs'!K53)*'Model inputs'!O13</f>
        <v>225</v>
      </c>
      <c r="L52" s="20">
        <f>('Model inputs'!L68+'Model inputs'!L32+'Model inputs'!L53)*'Model inputs'!O13</f>
        <v>300</v>
      </c>
      <c r="M52" s="20">
        <f>('Model inputs'!M68+'Model inputs'!M32+'Model inputs'!M53)*'Model inputs'!O13</f>
        <v>375</v>
      </c>
      <c r="N52" s="20">
        <f>('Model inputs'!N68+'Model inputs'!N32+'Model inputs'!N53)*'Model inputs'!O13</f>
        <v>450</v>
      </c>
    </row>
    <row r="53">
      <c r="A53" t="inlineStr" s="19">
        <is>
          <t xml:space="preserve">Paid standalone fixes</t>
        </is>
      </c>
      <c r="B53" s="20">
        <v>0</v>
      </c>
      <c r="C53" s="20">
        <f>'Monthly operating and hiring fo'!B8</f>
        <v>0</v>
      </c>
      <c r="D53" s="20">
        <f>'Monthly operating and hiring fo'!C8</f>
        <v>0</v>
      </c>
      <c r="E53" s="20">
        <f>'Monthly operating and hiring fo'!D8</f>
        <v>0</v>
      </c>
      <c r="F53" s="20">
        <f>'Monthly operating and hiring fo'!E8</f>
        <v>0</v>
      </c>
      <c r="G53" s="20">
        <f>'Monthly operating and hiring fo'!F8</f>
        <v>0</v>
      </c>
      <c r="H53" s="20">
        <f>'Monthly operating and hiring fo'!G8</f>
        <v>0</v>
      </c>
      <c r="I53" s="20">
        <f>'Monthly operating and hiring fo'!H8</f>
        <v>0</v>
      </c>
      <c r="J53" s="20">
        <f>'Monthly operating and hiring fo'!I8</f>
        <v>0</v>
      </c>
      <c r="K53" s="20">
        <f>'Monthly operating and hiring fo'!J8</f>
        <v>0</v>
      </c>
      <c r="L53" s="20">
        <f>'Monthly operating and hiring fo'!K8</f>
        <v>0</v>
      </c>
      <c r="M53" s="20">
        <f>'Monthly operating and hiring fo'!L8</f>
        <v>0</v>
      </c>
      <c r="N53" s="20">
        <f>'Monthly operating and hiring fo'!M8</f>
        <v>0</v>
      </c>
    </row>
    <row r="54">
      <c r="A54" t="inlineStr" s="19">
        <is>
          <t xml:space="preserve">Pay per fix price · Monthly operating and hiring forecast</t>
        </is>
      </c>
      <c r="O54" s="8">
        <f>'Pricing and operating assumptio'!B8</f>
        <v>49</v>
      </c>
    </row>
    <row r="55">
      <c r="A55" t="inlineStr" s="19">
        <is>
          <t xml:space="preserve">Pay per fix revenue · Main Scenario</t>
        </is>
      </c>
      <c r="B55" s="20">
        <f>'Model inputs'!B53*'Model inputs'!O54</f>
        <v>0</v>
      </c>
      <c r="C55" s="20">
        <f>'Model inputs'!C53*'Model inputs'!O54</f>
        <v>0</v>
      </c>
      <c r="D55" s="20">
        <f>'Model inputs'!D53*'Model inputs'!O54</f>
        <v>0</v>
      </c>
      <c r="E55" s="20">
        <f>'Model inputs'!E53*'Model inputs'!O54</f>
        <v>0</v>
      </c>
      <c r="F55" s="20">
        <f>'Model inputs'!F53*'Model inputs'!O54</f>
        <v>0</v>
      </c>
      <c r="G55" s="20">
        <f>'Model inputs'!G53*'Model inputs'!O54</f>
        <v>0</v>
      </c>
      <c r="H55" s="20">
        <f>'Model inputs'!H53*'Model inputs'!O54</f>
        <v>0</v>
      </c>
      <c r="I55" s="20">
        <f>'Model inputs'!I53*'Model inputs'!O54</f>
        <v>0</v>
      </c>
      <c r="J55" s="20">
        <f>'Model inputs'!J53*'Model inputs'!O54</f>
        <v>0</v>
      </c>
      <c r="K55" s="20">
        <f>'Model inputs'!K53*'Model inputs'!O54</f>
        <v>0</v>
      </c>
      <c r="L55" s="20">
        <f>'Model inputs'!L53*'Model inputs'!O54</f>
        <v>0</v>
      </c>
      <c r="M55" s="20">
        <f>'Model inputs'!M53*'Model inputs'!O54</f>
        <v>0</v>
      </c>
      <c r="N55" s="20">
        <f>'Model inputs'!N53*'Model inputs'!O54</f>
        <v>0</v>
      </c>
    </row>
    <row r="56">
      <c r="A56" t="inlineStr" s="19">
        <is>
          <t xml:space="preserve">Pay per fix revenue · Upside</t>
        </is>
      </c>
      <c r="B56" s="20">
        <f>'Model inputs'!B92*'Model inputs'!O94</f>
        <v>0</v>
      </c>
      <c r="C56" s="20">
        <f>'Model inputs'!C92*'Model inputs'!O94</f>
        <v>0</v>
      </c>
      <c r="D56" s="20">
        <f>'Model inputs'!D92*'Model inputs'!O94</f>
        <v>0</v>
      </c>
      <c r="E56" s="20">
        <f>'Model inputs'!E92*'Model inputs'!O94</f>
        <v>0</v>
      </c>
      <c r="F56" s="20">
        <f>'Model inputs'!F92*'Model inputs'!O94</f>
        <v>0</v>
      </c>
      <c r="G56" s="20">
        <f>'Model inputs'!G92*'Model inputs'!O94</f>
        <v>0</v>
      </c>
      <c r="H56" s="20">
        <f>'Model inputs'!H92*'Model inputs'!O94</f>
        <v>0</v>
      </c>
      <c r="I56" s="20">
        <f>'Model inputs'!I92*'Model inputs'!O94</f>
        <v>0</v>
      </c>
      <c r="J56" s="20">
        <f>'Model inputs'!J92*'Model inputs'!O94</f>
        <v>0</v>
      </c>
      <c r="K56" s="20">
        <f>'Model inputs'!K92*'Model inputs'!O94</f>
        <v>0</v>
      </c>
      <c r="L56" s="20">
        <f>'Model inputs'!L92*'Model inputs'!O94</f>
        <v>0</v>
      </c>
      <c r="M56" s="20">
        <f>'Model inputs'!M92*'Model inputs'!O94</f>
        <v>0</v>
      </c>
      <c r="N56" s="20">
        <f>'Model inputs'!N92*'Model inputs'!O94</f>
        <v>0</v>
      </c>
    </row>
    <row r="57">
      <c r="A57" t="inlineStr" s="19">
        <is>
          <t xml:space="preserve">Pay per fix revenue · Downside</t>
        </is>
      </c>
      <c r="B57" s="20">
        <f>'Model inputs'!B93*'Model inputs'!O95</f>
        <v>0</v>
      </c>
      <c r="C57" s="20">
        <f>'Model inputs'!C93*'Model inputs'!O95</f>
        <v>0</v>
      </c>
      <c r="D57" s="20">
        <f>'Model inputs'!D93*'Model inputs'!O95</f>
        <v>0</v>
      </c>
      <c r="E57" s="20">
        <f>'Model inputs'!E93*'Model inputs'!O95</f>
        <v>0</v>
      </c>
      <c r="F57" s="20">
        <f>'Model inputs'!F93*'Model inputs'!O95</f>
        <v>0</v>
      </c>
      <c r="G57" s="20">
        <f>'Model inputs'!G93*'Model inputs'!O95</f>
        <v>0</v>
      </c>
      <c r="H57" s="20">
        <f>'Model inputs'!H93*'Model inputs'!O95</f>
        <v>0</v>
      </c>
      <c r="I57" s="20">
        <f>'Model inputs'!I93*'Model inputs'!O95</f>
        <v>0</v>
      </c>
      <c r="J57" s="20">
        <f>'Model inputs'!J93*'Model inputs'!O95</f>
        <v>0</v>
      </c>
      <c r="K57" s="20">
        <f>'Model inputs'!K93*'Model inputs'!O95</f>
        <v>0</v>
      </c>
      <c r="L57" s="20">
        <f>'Model inputs'!L93*'Model inputs'!O95</f>
        <v>0</v>
      </c>
      <c r="M57" s="20">
        <f>'Model inputs'!M93*'Model inputs'!O95</f>
        <v>0</v>
      </c>
      <c r="N57" s="20">
        <f>'Model inputs'!N93*'Model inputs'!O95</f>
        <v>0</v>
      </c>
    </row>
    <row r="58">
      <c r="A58" t="inlineStr" s="19">
        <is>
          <t xml:space="preserve">Paying teams</t>
        </is>
      </c>
      <c r="B58" s="8">
        <v>0</v>
      </c>
      <c r="C58" s="8">
        <f>'Monthly operating and hiring fo'!B5</f>
        <v>0</v>
      </c>
      <c r="D58" s="8">
        <f>'Monthly operating and hiring fo'!C5</f>
        <v>1</v>
      </c>
      <c r="E58" s="8">
        <f>'Monthly operating and hiring fo'!D5</f>
        <v>2</v>
      </c>
      <c r="F58" s="8">
        <f>'Monthly operating and hiring fo'!E5</f>
        <v>3</v>
      </c>
      <c r="G58" s="8">
        <f>'Monthly operating and hiring fo'!F5</f>
        <v>4</v>
      </c>
      <c r="H58" s="8">
        <f>'Monthly operating and hiring fo'!G5</f>
        <v>5</v>
      </c>
      <c r="I58" s="8">
        <f>'Monthly operating and hiring fo'!H5</f>
        <v>8</v>
      </c>
      <c r="J58" s="8">
        <f>'Monthly operating and hiring fo'!I5</f>
        <v>11</v>
      </c>
      <c r="K58" s="8">
        <f>'Monthly operating and hiring fo'!J5</f>
        <v>15</v>
      </c>
      <c r="L58" s="8">
        <f>'Monthly operating and hiring fo'!K5</f>
        <v>20</v>
      </c>
      <c r="M58" s="8">
        <f>'Monthly operating and hiring fo'!L5</f>
        <v>25</v>
      </c>
      <c r="N58" s="8">
        <f>'Monthly operating and hiring fo'!M5</f>
        <v>30</v>
      </c>
    </row>
    <row r="59">
      <c r="A59" t="inlineStr" s="19">
        <is>
          <t xml:space="preserve">Plan month · Main Scenario</t>
        </is>
      </c>
      <c r="B59" t="e" s="20">
        <f>DATEDIF(DATE(2026,10,1),DATE(2026,9,1),"M")+1</f>
        <v>#VALUE!</v>
      </c>
      <c r="C59" s="20">
        <f>DATEDIF(DATE(2026,10,1),DATE(2026,10,1),"M")+1</f>
        <v>1</v>
      </c>
      <c r="D59" s="20">
        <f>DATEDIF(DATE(2026,10,1),DATE(2026,11,1),"M")+1</f>
        <v>2</v>
      </c>
      <c r="E59" s="20">
        <f>DATEDIF(DATE(2026,10,1),DATE(2026,12,1),"M")+1</f>
        <v>3</v>
      </c>
      <c r="F59" s="20">
        <f>DATEDIF(DATE(2026,10,1),DATE(2027,1,1),"M")+1</f>
        <v>4</v>
      </c>
      <c r="G59" s="20">
        <f>DATEDIF(DATE(2026,10,1),DATE(2027,2,1),"M")+1</f>
        <v>5</v>
      </c>
      <c r="H59" s="20">
        <f>DATEDIF(DATE(2026,10,1),DATE(2027,3,1),"M")+1</f>
        <v>6</v>
      </c>
      <c r="I59" s="20">
        <f>DATEDIF(DATE(2026,10,1),DATE(2027,4,1),"M")+1</f>
        <v>7</v>
      </c>
      <c r="J59" s="20">
        <f>DATEDIF(DATE(2026,10,1),DATE(2027,5,1),"M")+1</f>
        <v>8</v>
      </c>
      <c r="K59" s="20">
        <f>DATEDIF(DATE(2026,10,1),DATE(2027,6,1),"M")+1</f>
        <v>9</v>
      </c>
      <c r="L59" s="20">
        <f>DATEDIF(DATE(2026,10,1),DATE(2027,7,1),"M")+1</f>
        <v>10</v>
      </c>
      <c r="M59" s="20">
        <f>DATEDIF(DATE(2026,10,1),DATE(2027,8,1),"M")+1</f>
        <v>11</v>
      </c>
      <c r="N59" s="20">
        <f>DATEDIF(DATE(2026,10,1),DATE(2027,9,1),"M")+1</f>
        <v>12</v>
      </c>
    </row>
    <row r="60">
      <c r="A60" t="inlineStr" s="19">
        <is>
          <t xml:space="preserve">Plan month · Upside</t>
        </is>
      </c>
      <c r="B60" t="e" s="20">
        <f>DATEDIF(DATE(2026,10,1),DATE(2026,9,1),"M")+1</f>
        <v>#VALUE!</v>
      </c>
      <c r="C60" s="20">
        <f>DATEDIF(DATE(2026,10,1),DATE(2026,10,1),"M")+1</f>
        <v>1</v>
      </c>
      <c r="D60" s="20">
        <f>DATEDIF(DATE(2026,10,1),DATE(2026,11,1),"M")+1</f>
        <v>2</v>
      </c>
      <c r="E60" s="20">
        <f>DATEDIF(DATE(2026,10,1),DATE(2026,12,1),"M")+1</f>
        <v>3</v>
      </c>
      <c r="F60" s="20">
        <f>DATEDIF(DATE(2026,10,1),DATE(2027,1,1),"M")+1</f>
        <v>4</v>
      </c>
      <c r="G60" s="20">
        <f>DATEDIF(DATE(2026,10,1),DATE(2027,2,1),"M")+1</f>
        <v>5</v>
      </c>
      <c r="H60" s="20">
        <f>DATEDIF(DATE(2026,10,1),DATE(2027,3,1),"M")+1</f>
        <v>6</v>
      </c>
      <c r="I60" s="20">
        <f>DATEDIF(DATE(2026,10,1),DATE(2027,4,1),"M")+1</f>
        <v>7</v>
      </c>
      <c r="J60" s="20">
        <f>DATEDIF(DATE(2026,10,1),DATE(2027,5,1),"M")+1</f>
        <v>8</v>
      </c>
      <c r="K60" s="20">
        <f>DATEDIF(DATE(2026,10,1),DATE(2027,6,1),"M")+1</f>
        <v>9</v>
      </c>
      <c r="L60" s="20">
        <f>DATEDIF(DATE(2026,10,1),DATE(2027,7,1),"M")+1</f>
        <v>10</v>
      </c>
      <c r="M60" s="20">
        <f>DATEDIF(DATE(2026,10,1),DATE(2027,8,1),"M")+1</f>
        <v>11</v>
      </c>
      <c r="N60" s="20">
        <f>DATEDIF(DATE(2026,10,1),DATE(2027,9,1),"M")+1</f>
        <v>12</v>
      </c>
    </row>
    <row r="61">
      <c r="A61" t="inlineStr" s="19">
        <is>
          <t xml:space="preserve">Plan month · Downside</t>
        </is>
      </c>
      <c r="B61" t="e" s="20">
        <f>DATEDIF(DATE(2026,10,1),DATE(2026,9,1),"M")+1</f>
        <v>#VALUE!</v>
      </c>
      <c r="C61" s="20">
        <f>DATEDIF(DATE(2026,10,1),DATE(2026,10,1),"M")+1</f>
        <v>1</v>
      </c>
      <c r="D61" s="20">
        <f>DATEDIF(DATE(2026,10,1),DATE(2026,11,1),"M")+1</f>
        <v>2</v>
      </c>
      <c r="E61" s="20">
        <f>DATEDIF(DATE(2026,10,1),DATE(2026,12,1),"M")+1</f>
        <v>3</v>
      </c>
      <c r="F61" s="20">
        <f>DATEDIF(DATE(2026,10,1),DATE(2027,1,1),"M")+1</f>
        <v>4</v>
      </c>
      <c r="G61" s="20">
        <f>DATEDIF(DATE(2026,10,1),DATE(2027,2,1),"M")+1</f>
        <v>5</v>
      </c>
      <c r="H61" s="20">
        <f>DATEDIF(DATE(2026,10,1),DATE(2027,3,1),"M")+1</f>
        <v>6</v>
      </c>
      <c r="I61" s="20">
        <f>DATEDIF(DATE(2026,10,1),DATE(2027,4,1),"M")+1</f>
        <v>7</v>
      </c>
      <c r="J61" s="20">
        <f>DATEDIF(DATE(2026,10,1),DATE(2027,5,1),"M")+1</f>
        <v>8</v>
      </c>
      <c r="K61" s="20">
        <f>DATEDIF(DATE(2026,10,1),DATE(2027,6,1),"M")+1</f>
        <v>9</v>
      </c>
      <c r="L61" s="20">
        <f>DATEDIF(DATE(2026,10,1),DATE(2027,7,1),"M")+1</f>
        <v>10</v>
      </c>
      <c r="M61" s="20">
        <f>DATEDIF(DATE(2026,10,1),DATE(2027,8,1),"M")+1</f>
        <v>11</v>
      </c>
      <c r="N61" s="20">
        <f>DATEDIF(DATE(2026,10,1),DATE(2027,9,1),"M")+1</f>
        <v>12</v>
      </c>
    </row>
    <row r="62">
      <c r="A62" t="inlineStr" s="19">
        <is>
          <t xml:space="preserve">Revenue</t>
        </is>
      </c>
      <c r="B62" s="15">
        <f>'Model inputs'!B65+'Model inputs'!B28+'Model inputs'!B55</f>
        <v>0</v>
      </c>
      <c r="C62" s="15">
        <f>'Model inputs'!C65+'Model inputs'!C28+'Model inputs'!C55</f>
        <v>0</v>
      </c>
      <c r="D62" s="15">
        <f>'Model inputs'!D65+'Model inputs'!D28+'Model inputs'!D55</f>
        <v>199</v>
      </c>
      <c r="E62" s="15">
        <f>'Model inputs'!E65+'Model inputs'!E28+'Model inputs'!E55</f>
        <v>398</v>
      </c>
      <c r="F62" s="15">
        <f>'Model inputs'!F65+'Model inputs'!F28+'Model inputs'!F55</f>
        <v>597</v>
      </c>
      <c r="G62" s="15">
        <f>'Model inputs'!G65+'Model inputs'!G28+'Model inputs'!G55</f>
        <v>796</v>
      </c>
      <c r="H62" s="15">
        <f>'Model inputs'!H65+'Model inputs'!H28+'Model inputs'!H55</f>
        <v>995</v>
      </c>
      <c r="I62" s="15">
        <f>'Model inputs'!I65+'Model inputs'!I28+'Model inputs'!I55</f>
        <v>1592</v>
      </c>
      <c r="J62" s="15">
        <f>'Model inputs'!J65+'Model inputs'!J28+'Model inputs'!J55</f>
        <v>2189</v>
      </c>
      <c r="K62" s="15">
        <f>'Model inputs'!K65+'Model inputs'!K28+'Model inputs'!K55</f>
        <v>2985</v>
      </c>
      <c r="L62" s="15">
        <f>'Model inputs'!L65+'Model inputs'!L28+'Model inputs'!L55</f>
        <v>3980</v>
      </c>
      <c r="M62" s="15">
        <f>'Model inputs'!M65+'Model inputs'!M28+'Model inputs'!M55</f>
        <v>4975</v>
      </c>
      <c r="N62" s="15">
        <f>'Model inputs'!N65+'Model inputs'!N28+'Model inputs'!N55</f>
        <v>5970</v>
      </c>
    </row>
    <row r="63">
      <c r="A63" t="inlineStr" s="19">
        <is>
          <t xml:space="preserve">Target gross margin</t>
        </is>
      </c>
      <c r="O63" s="10">
        <f>'Pricing and operating assumptio'!B10</f>
        <v>0.7</v>
      </c>
    </row>
    <row r="64">
      <c r="A64" t="inlineStr" s="19">
        <is>
          <t xml:space="preserve">Team monthly price · Monthly operating and hiring forecast</t>
        </is>
      </c>
      <c r="O64" s="8">
        <f>'Pricing and operating assumptio'!B5</f>
        <v>199</v>
      </c>
    </row>
    <row r="65">
      <c r="A65" t="inlineStr" s="19">
        <is>
          <t xml:space="preserve">Team subscription revenue · Main Scenario</t>
        </is>
      </c>
      <c r="B65" s="20">
        <f>'Model inputs'!B58*'Model inputs'!O64</f>
        <v>0</v>
      </c>
      <c r="C65" s="20">
        <f>'Model inputs'!C58*'Model inputs'!O64</f>
        <v>0</v>
      </c>
      <c r="D65" s="20">
        <f>'Model inputs'!D58*'Model inputs'!O64</f>
        <v>199</v>
      </c>
      <c r="E65" s="20">
        <f>'Model inputs'!E58*'Model inputs'!O64</f>
        <v>398</v>
      </c>
      <c r="F65" s="20">
        <f>'Model inputs'!F58*'Model inputs'!O64</f>
        <v>597</v>
      </c>
      <c r="G65" s="20">
        <f>'Model inputs'!G58*'Model inputs'!O64</f>
        <v>796</v>
      </c>
      <c r="H65" s="20">
        <f>'Model inputs'!H58*'Model inputs'!O64</f>
        <v>995</v>
      </c>
      <c r="I65" s="20">
        <f>'Model inputs'!I58*'Model inputs'!O64</f>
        <v>1592</v>
      </c>
      <c r="J65" s="20">
        <f>'Model inputs'!J58*'Model inputs'!O64</f>
        <v>2189</v>
      </c>
      <c r="K65" s="20">
        <f>'Model inputs'!K58*'Model inputs'!O64</f>
        <v>2985</v>
      </c>
      <c r="L65" s="20">
        <f>'Model inputs'!L58*'Model inputs'!O64</f>
        <v>3980</v>
      </c>
      <c r="M65" s="20">
        <f>'Model inputs'!M58*'Model inputs'!O64</f>
        <v>4975</v>
      </c>
      <c r="N65" s="20">
        <f>'Model inputs'!N58*'Model inputs'!O64</f>
        <v>5970</v>
      </c>
    </row>
    <row r="66">
      <c r="A66" t="inlineStr" s="19">
        <is>
          <t xml:space="preserve">Team subscription revenue · Upside</t>
        </is>
      </c>
      <c r="B66" s="20">
        <f>'Model inputs'!B96*'Model inputs'!O98</f>
        <v>0</v>
      </c>
      <c r="C66" s="20">
        <f>'Model inputs'!C96*'Model inputs'!O98</f>
        <v>199</v>
      </c>
      <c r="D66" s="20">
        <f>'Model inputs'!D96*'Model inputs'!O98</f>
        <v>398</v>
      </c>
      <c r="E66" s="20">
        <f>'Model inputs'!E96*'Model inputs'!O98</f>
        <v>796</v>
      </c>
      <c r="F66" s="20">
        <f>'Model inputs'!F96*'Model inputs'!O98</f>
        <v>1194</v>
      </c>
      <c r="G66" s="20">
        <f>'Model inputs'!G96*'Model inputs'!O98</f>
        <v>1791</v>
      </c>
      <c r="H66" s="20">
        <f>'Model inputs'!H96*'Model inputs'!O98</f>
        <v>2388</v>
      </c>
      <c r="I66" s="20">
        <f>'Model inputs'!I96*'Model inputs'!O98</f>
        <v>3383</v>
      </c>
      <c r="J66" s="20">
        <f>'Model inputs'!J96*'Model inputs'!O98</f>
        <v>4577</v>
      </c>
      <c r="K66" s="20">
        <f>'Model inputs'!K96*'Model inputs'!O98</f>
        <v>5970</v>
      </c>
      <c r="L66" s="20">
        <f>'Model inputs'!L96*'Model inputs'!O98</f>
        <v>7960</v>
      </c>
      <c r="M66" s="20">
        <f>'Model inputs'!M96*'Model inputs'!O98</f>
        <v>9950</v>
      </c>
      <c r="N66" s="20">
        <f>'Model inputs'!N96*'Model inputs'!O98</f>
        <v>11940</v>
      </c>
    </row>
    <row r="67">
      <c r="A67" t="inlineStr" s="19">
        <is>
          <t xml:space="preserve">Team subscription revenue · Downside</t>
        </is>
      </c>
      <c r="B67" s="20">
        <f>'Model inputs'!B97*'Model inputs'!O99</f>
        <v>0</v>
      </c>
      <c r="C67" s="20">
        <f>'Model inputs'!C97*'Model inputs'!O99</f>
        <v>0</v>
      </c>
      <c r="D67" s="20">
        <f>'Model inputs'!D97*'Model inputs'!O99</f>
        <v>0</v>
      </c>
      <c r="E67" s="20">
        <f>'Model inputs'!E97*'Model inputs'!O99</f>
        <v>199</v>
      </c>
      <c r="F67" s="20">
        <f>'Model inputs'!F97*'Model inputs'!O99</f>
        <v>199</v>
      </c>
      <c r="G67" s="20">
        <f>'Model inputs'!G97*'Model inputs'!O99</f>
        <v>398</v>
      </c>
      <c r="H67" s="20">
        <f>'Model inputs'!H97*'Model inputs'!O99</f>
        <v>398</v>
      </c>
      <c r="I67" s="20">
        <f>'Model inputs'!I97*'Model inputs'!O99</f>
        <v>597</v>
      </c>
      <c r="J67" s="20">
        <f>'Model inputs'!J97*'Model inputs'!O99</f>
        <v>796</v>
      </c>
      <c r="K67" s="20">
        <f>'Model inputs'!K97*'Model inputs'!O99</f>
        <v>995</v>
      </c>
      <c r="L67" s="20">
        <f>'Model inputs'!L97*'Model inputs'!O99</f>
        <v>1393</v>
      </c>
      <c r="M67" s="20">
        <f>'Model inputs'!M97*'Model inputs'!O99</f>
        <v>1791</v>
      </c>
      <c r="N67" s="20">
        <f>'Model inputs'!N97*'Model inputs'!O99</f>
        <v>2388</v>
      </c>
    </row>
    <row r="68">
      <c r="A68" t="inlineStr" s="19">
        <is>
          <t xml:space="preserve">Team successful fixes</t>
        </is>
      </c>
      <c r="B68" s="20">
        <f>'Model inputs'!B58*'Model inputs'!O43</f>
        <v>0</v>
      </c>
      <c r="C68" s="20">
        <f>'Model inputs'!C58*'Model inputs'!O43</f>
        <v>0</v>
      </c>
      <c r="D68" s="20">
        <f>'Model inputs'!D58*'Model inputs'!O43</f>
        <v>10</v>
      </c>
      <c r="E68" s="20">
        <f>'Model inputs'!E58*'Model inputs'!O43</f>
        <v>20</v>
      </c>
      <c r="F68" s="20">
        <f>'Model inputs'!F58*'Model inputs'!O43</f>
        <v>30</v>
      </c>
      <c r="G68" s="20">
        <f>'Model inputs'!G58*'Model inputs'!O43</f>
        <v>40</v>
      </c>
      <c r="H68" s="20">
        <f>'Model inputs'!H58*'Model inputs'!O43</f>
        <v>50</v>
      </c>
      <c r="I68" s="20">
        <f>'Model inputs'!I58*'Model inputs'!O43</f>
        <v>80</v>
      </c>
      <c r="J68" s="20">
        <f>'Model inputs'!J58*'Model inputs'!O43</f>
        <v>110</v>
      </c>
      <c r="K68" s="20">
        <f>'Model inputs'!K58*'Model inputs'!O43</f>
        <v>150</v>
      </c>
      <c r="L68" s="20">
        <f>'Model inputs'!L58*'Model inputs'!O43</f>
        <v>200</v>
      </c>
      <c r="M68" s="20">
        <f>'Model inputs'!M58*'Model inputs'!O43</f>
        <v>250</v>
      </c>
      <c r="N68" s="20">
        <f>'Model inputs'!N58*'Model inputs'!O43</f>
        <v>300</v>
      </c>
    </row>
    <row r="69">
      <c r="A69" t="inlineStr" s="19">
        <is>
          <t xml:space="preserve">Cumulative cash if hired at earliest month · Cumulative cash if hired at earliest month</t>
        </is>
      </c>
      <c r="B69" t="e" s="20">
        <f>IF('Model inputs'!B14="","",'Model inputs'!B14)</f>
        <v>#VALUE!</v>
      </c>
      <c r="C69" s="20">
        <f>IF('Model inputs'!C14="","",'Model inputs'!C14)</f>
        <v>-154.5</v>
      </c>
      <c r="D69" s="20">
        <f>IF('Model inputs'!D14="","",'Model inputs'!D14)</f>
        <v>-129.5</v>
      </c>
      <c r="E69" s="20">
        <f>IF('Model inputs'!E14="","",'Model inputs'!E14)</f>
        <v>73.5</v>
      </c>
      <c r="F69" s="20">
        <f>IF('Model inputs'!F14="","",'Model inputs'!F14)</f>
        <v>460.5</v>
      </c>
      <c r="G69" s="20">
        <f>IF('Model inputs'!G14="","",'Model inputs'!G14)</f>
        <v>1031.5</v>
      </c>
      <c r="H69" s="20">
        <f>IF('Model inputs'!H14="","",'Model inputs'!H14)</f>
        <v>1786.5</v>
      </c>
      <c r="I69" s="20">
        <f>IF('Model inputs'!I14="","",'Model inputs'!I14)</f>
        <v>-906.5</v>
      </c>
      <c r="J69" s="20">
        <f>IF('Model inputs'!J14="","",'Model inputs'!J14)</f>
        <v>-3047.5</v>
      </c>
      <c r="K69" s="20">
        <f>IF('Model inputs'!K14="","",'Model inputs'!K14)</f>
        <v>-4452.5</v>
      </c>
      <c r="L69" s="20">
        <f>IF('Model inputs'!L14="","",'Model inputs'!L14)</f>
        <v>-10937.5</v>
      </c>
      <c r="M69" s="20">
        <f>IF('Model inputs'!M14="","",'Model inputs'!M14)</f>
        <v>-16502.5</v>
      </c>
      <c r="N69" s="20">
        <f>IF('Model inputs'!N14="","",'Model inputs'!N14)</f>
        <v>-21147.5</v>
      </c>
      <c r="P69" t="e" s="20">
        <f>IF(IF(IF(ISERROR('Model inputs'!P125=1),'Model inputs'!P125=1,IF('Model inputs'!P125="","",'Model inputs'!P125=1))="",FALSE,IF(ISERROR('Model inputs'!P125=1),'Model inputs'!P125=1,IF('Model inputs'!P125="","",'Model inputs'!P125=1))),IF('Model inputs'!P103="","",'Model inputs'!P103),0+'Model inputs'!P103)</f>
        <v>#VALUE!</v>
      </c>
      <c r="Q69" t="e" s="20">
        <f>IF(IF(IF(ISERROR('Model inputs'!Q125=1),'Model inputs'!Q125=1,IF('Model inputs'!Q125="","",'Model inputs'!Q125=1))="",FALSE,IF(ISERROR('Model inputs'!Q125=1),'Model inputs'!Q125=1,IF('Model inputs'!Q125="","",'Model inputs'!Q125=1))),IF('Model inputs'!Q103="","",'Model inputs'!Q103),'Model inputs'!P69+'Model inputs'!Q103)</f>
        <v>#VALUE!</v>
      </c>
      <c r="R69" t="e" s="20">
        <f>IF(IF(IF(ISERROR('Model inputs'!R125=1),'Model inputs'!R125=1,IF('Model inputs'!R125="","",'Model inputs'!R125=1))="",FALSE,IF(ISERROR('Model inputs'!R125=1),'Model inputs'!R125=1,IF('Model inputs'!R125="","",'Model inputs'!R125=1))),IF('Model inputs'!R103="","",'Model inputs'!R103),'Model inputs'!Q69+'Model inputs'!R103)</f>
        <v>#VALUE!</v>
      </c>
      <c r="S69" t="e" s="20">
        <f>IF(IF(IF(ISERROR('Model inputs'!S125=1),'Model inputs'!S125=1,IF('Model inputs'!S125="","",'Model inputs'!S125=1))="",FALSE,IF(ISERROR('Model inputs'!S125=1),'Model inputs'!S125=1,IF('Model inputs'!S125="","",'Model inputs'!S125=1))),IF('Model inputs'!S103="","",'Model inputs'!S103),'Model inputs'!R69+'Model inputs'!S103)</f>
        <v>#VALUE!</v>
      </c>
      <c r="T69" t="e" s="20">
        <f>IF(IF(IF(ISERROR('Model inputs'!T125=1),'Model inputs'!T125=1,IF('Model inputs'!T125="","",'Model inputs'!T125=1))="",FALSE,IF(ISERROR('Model inputs'!T125=1),'Model inputs'!T125=1,IF('Model inputs'!T125="","",'Model inputs'!T125=1))),IF('Model inputs'!T103="","",'Model inputs'!T103),'Model inputs'!S69+'Model inputs'!T103)</f>
        <v>#VALUE!</v>
      </c>
      <c r="U69" t="e" s="20">
        <f>IF(IF(IF(ISERROR('Model inputs'!U125=1),'Model inputs'!U125=1,IF('Model inputs'!U125="","",'Model inputs'!U125=1))="",FALSE,IF(ISERROR('Model inputs'!U125=1),'Model inputs'!U125=1,IF('Model inputs'!U125="","",'Model inputs'!U125=1))),IF('Model inputs'!U103="","",'Model inputs'!U103),'Model inputs'!T69+'Model inputs'!U103)</f>
        <v>#VALUE!</v>
      </c>
      <c r="V69" t="e" s="20">
        <f>IF(IF(IF(ISERROR('Model inputs'!V125=1),'Model inputs'!V125=1,IF('Model inputs'!V125="","",'Model inputs'!V125=1))="",FALSE,IF(ISERROR('Model inputs'!V125=1),'Model inputs'!V125=1,IF('Model inputs'!V125="","",'Model inputs'!V125=1))),IF('Model inputs'!V103="","",'Model inputs'!V103),'Model inputs'!U69+'Model inputs'!V103)</f>
        <v>#VALUE!</v>
      </c>
      <c r="W69" t="e" s="20">
        <f>IF(IF(IF(ISERROR('Model inputs'!W125=1),'Model inputs'!W125=1,IF('Model inputs'!W125="","",'Model inputs'!W125=1))="",FALSE,IF(ISERROR('Model inputs'!W125=1),'Model inputs'!W125=1,IF('Model inputs'!W125="","",'Model inputs'!W125=1))),IF('Model inputs'!W103="","",'Model inputs'!W103),'Model inputs'!V69+'Model inputs'!W103)</f>
        <v>#VALUE!</v>
      </c>
    </row>
    <row r="70">
      <c r="A70" t="inlineStr" s="19">
        <is>
          <t xml:space="preserve">Cumulative operating cash · Cumulative operating cash · Main Scenario · Main Scenario</t>
        </is>
      </c>
      <c r="B70" t="e" s="15">
        <f>IF('Model inputs'!B15="","",'Model inputs'!B15)</f>
        <v>#VALUE!</v>
      </c>
      <c r="C70" s="15">
        <f>IF('Model inputs'!C15="","",'Model inputs'!C15)</f>
        <v>-154.5</v>
      </c>
      <c r="D70" s="15">
        <f>IF('Model inputs'!D15="","",'Model inputs'!D15)</f>
        <v>-129.5</v>
      </c>
      <c r="E70" s="15">
        <f>IF('Model inputs'!E15="","",'Model inputs'!E15)</f>
        <v>73.5</v>
      </c>
      <c r="F70" s="15">
        <f>IF('Model inputs'!F15="","",'Model inputs'!F15)</f>
        <v>460.5</v>
      </c>
      <c r="G70" s="15">
        <f>IF('Model inputs'!G15="","",'Model inputs'!G15)</f>
        <v>1031.5</v>
      </c>
      <c r="H70" s="15">
        <f>IF('Model inputs'!H15="","",'Model inputs'!H15)</f>
        <v>1786.5</v>
      </c>
      <c r="I70" s="15">
        <f>IF('Model inputs'!I15="","",'Model inputs'!I15)</f>
        <v>-906.5</v>
      </c>
      <c r="J70" s="15">
        <f>IF('Model inputs'!J15="","",'Model inputs'!J15)</f>
        <v>-3047.5</v>
      </c>
      <c r="K70" s="15">
        <f>IF('Model inputs'!K15="","",'Model inputs'!K15)</f>
        <v>-4452.5</v>
      </c>
      <c r="L70" s="15">
        <f>IF('Model inputs'!L15="","",'Model inputs'!L15)</f>
        <v>-4937.5</v>
      </c>
      <c r="M70" s="15">
        <f>IF('Model inputs'!M15="","",'Model inputs'!M15)</f>
        <v>-4502.5</v>
      </c>
      <c r="N70" s="15">
        <f>IF('Model inputs'!N15="","",'Model inputs'!N15)</f>
        <v>-3147.5</v>
      </c>
      <c r="P70" t="e" s="15">
        <f>IF(IF(IF(ISERROR('Model inputs'!P125=1),'Model inputs'!P125=1,IF('Model inputs'!P125="","",'Model inputs'!P125=1))="",FALSE,IF(ISERROR('Model inputs'!P125=1),'Model inputs'!P125=1,IF('Model inputs'!P125="","",'Model inputs'!P125=1))),IF('Model inputs'!P118="","",'Model inputs'!P118),0+'Model inputs'!P118)</f>
        <v>#VALUE!</v>
      </c>
      <c r="Q70" t="e" s="15">
        <f>IF(IF(IF(ISERROR('Model inputs'!Q125=1),'Model inputs'!Q125=1,IF('Model inputs'!Q125="","",'Model inputs'!Q125=1))="",FALSE,IF(ISERROR('Model inputs'!Q125=1),'Model inputs'!Q125=1,IF('Model inputs'!Q125="","",'Model inputs'!Q125=1))),IF('Model inputs'!Q118="","",'Model inputs'!Q118),'Model inputs'!P70+'Model inputs'!Q118)</f>
        <v>#VALUE!</v>
      </c>
      <c r="R70" t="e" s="15">
        <f>IF(IF(IF(ISERROR('Model inputs'!R125=1),'Model inputs'!R125=1,IF('Model inputs'!R125="","",'Model inputs'!R125=1))="",FALSE,IF(ISERROR('Model inputs'!R125=1),'Model inputs'!R125=1,IF('Model inputs'!R125="","",'Model inputs'!R125=1))),IF('Model inputs'!R118="","",'Model inputs'!R118),'Model inputs'!Q70+'Model inputs'!R118)</f>
        <v>#VALUE!</v>
      </c>
      <c r="S70" t="e" s="15">
        <f>IF(IF(IF(ISERROR('Model inputs'!S125=1),'Model inputs'!S125=1,IF('Model inputs'!S125="","",'Model inputs'!S125=1))="",FALSE,IF(ISERROR('Model inputs'!S125=1),'Model inputs'!S125=1,IF('Model inputs'!S125="","",'Model inputs'!S125=1))),IF('Model inputs'!S118="","",'Model inputs'!S118),'Model inputs'!R70+'Model inputs'!S118)</f>
        <v>#VALUE!</v>
      </c>
      <c r="T70" t="e" s="15">
        <f>IF(IF(IF(ISERROR('Model inputs'!T125=1),'Model inputs'!T125=1,IF('Model inputs'!T125="","",'Model inputs'!T125=1))="",FALSE,IF(ISERROR('Model inputs'!T125=1),'Model inputs'!T125=1,IF('Model inputs'!T125="","",'Model inputs'!T125=1))),IF('Model inputs'!T118="","",'Model inputs'!T118),'Model inputs'!S70+'Model inputs'!T118)</f>
        <v>#VALUE!</v>
      </c>
      <c r="U70" t="e" s="15">
        <f>IF(IF(IF(ISERROR('Model inputs'!U125=1),'Model inputs'!U125=1,IF('Model inputs'!U125="","",'Model inputs'!U125=1))="",FALSE,IF(ISERROR('Model inputs'!U125=1),'Model inputs'!U125=1,IF('Model inputs'!U125="","",'Model inputs'!U125=1))),IF('Model inputs'!U118="","",'Model inputs'!U118),'Model inputs'!T70+'Model inputs'!U118)</f>
        <v>#VALUE!</v>
      </c>
      <c r="V70" t="e" s="15">
        <f>IF(IF(IF(ISERROR('Model inputs'!V125=1),'Model inputs'!V125=1,IF('Model inputs'!V125="","",'Model inputs'!V125=1))="",FALSE,IF(ISERROR('Model inputs'!V125=1),'Model inputs'!V125=1,IF('Model inputs'!V125="","",'Model inputs'!V125=1))),IF('Model inputs'!V118="","",'Model inputs'!V118),'Model inputs'!U70+'Model inputs'!V118)</f>
        <v>#VALUE!</v>
      </c>
      <c r="W70" t="e" s="15">
        <f>IF(IF(IF(ISERROR('Model inputs'!W125=1),'Model inputs'!W125=1,IF('Model inputs'!W125="","",'Model inputs'!W125=1))="",FALSE,IF(ISERROR('Model inputs'!W125=1),'Model inputs'!W125=1,IF('Model inputs'!W125="","",'Model inputs'!W125=1))),IF('Model inputs'!W118="","",'Model inputs'!W118),'Model inputs'!V70+'Model inputs'!W118)</f>
        <v>#VALUE!</v>
      </c>
    </row>
    <row r="71">
      <c r="A71" t="inlineStr" s="19">
        <is>
          <t xml:space="preserve">Cumulative operating cash · Cumulative operating cash · Upside · Upside</t>
        </is>
      </c>
      <c r="B71" t="e" s="15">
        <f>IF('Model inputs'!B16="","",'Model inputs'!B16)</f>
        <v>#VALUE!</v>
      </c>
      <c r="C71" s="15">
        <f>IF('Model inputs'!C16="","",'Model inputs'!C16)</f>
        <v>29.5</v>
      </c>
      <c r="D71" s="15">
        <f>IF('Model inputs'!D16="","",'Model inputs'!D16)</f>
        <v>238.5</v>
      </c>
      <c r="E71" s="15">
        <f>IF('Model inputs'!E16="","",'Model inputs'!E16)</f>
        <v>809.5</v>
      </c>
      <c r="F71" s="15">
        <f>IF('Model inputs'!F16="","",'Model inputs'!F16)</f>
        <v>1748.5</v>
      </c>
      <c r="G71" s="15">
        <f>IF('Model inputs'!G16="","",'Model inputs'!G16)</f>
        <v>3239.5</v>
      </c>
      <c r="H71" s="15">
        <f>IF('Model inputs'!H16="","",'Model inputs'!H16)</f>
        <v>5282.5</v>
      </c>
      <c r="I71" s="15">
        <f>IF('Model inputs'!I16="","",'Model inputs'!I16)</f>
        <v>4245.5</v>
      </c>
      <c r="J71" s="15">
        <f>IF('Model inputs'!J16="","",'Model inputs'!J16)</f>
        <v>4312.5</v>
      </c>
      <c r="K71" s="15">
        <f>IF('Model inputs'!K16="","",'Model inputs'!K16)</f>
        <v>5667.5</v>
      </c>
      <c r="L71" s="15">
        <f>IF('Model inputs'!L16="","",'Model inputs'!L16)</f>
        <v>8862.5</v>
      </c>
      <c r="M71" s="15">
        <f>IF('Model inputs'!M16="","",'Model inputs'!M16)</f>
        <v>13897.5</v>
      </c>
      <c r="N71" s="15">
        <f>IF('Model inputs'!N16="","",'Model inputs'!N16)</f>
        <v>14772.5</v>
      </c>
      <c r="P71" t="e" s="15">
        <f>IF(IF(IF(ISERROR('Model inputs'!P126=1),'Model inputs'!P126=1,IF('Model inputs'!P126="","",'Model inputs'!P126=1))="",FALSE,IF(ISERROR('Model inputs'!P126=1),'Model inputs'!P126=1,IF('Model inputs'!P126="","",'Model inputs'!P126=1))),IF('Model inputs'!P119="","",'Model inputs'!P119),0+'Model inputs'!P119)</f>
        <v>#VALUE!</v>
      </c>
      <c r="Q71" t="e" s="15">
        <f>IF(IF(IF(ISERROR('Model inputs'!Q126=1),'Model inputs'!Q126=1,IF('Model inputs'!Q126="","",'Model inputs'!Q126=1))="",FALSE,IF(ISERROR('Model inputs'!Q126=1),'Model inputs'!Q126=1,IF('Model inputs'!Q126="","",'Model inputs'!Q126=1))),IF('Model inputs'!Q119="","",'Model inputs'!Q119),'Model inputs'!P71+'Model inputs'!Q119)</f>
        <v>#VALUE!</v>
      </c>
      <c r="R71" t="e" s="15">
        <f>IF(IF(IF(ISERROR('Model inputs'!R126=1),'Model inputs'!R126=1,IF('Model inputs'!R126="","",'Model inputs'!R126=1))="",FALSE,IF(ISERROR('Model inputs'!R126=1),'Model inputs'!R126=1,IF('Model inputs'!R126="","",'Model inputs'!R126=1))),IF('Model inputs'!R119="","",'Model inputs'!R119),'Model inputs'!Q71+'Model inputs'!R119)</f>
        <v>#VALUE!</v>
      </c>
      <c r="S71" t="e" s="15">
        <f>IF(IF(IF(ISERROR('Model inputs'!S126=1),'Model inputs'!S126=1,IF('Model inputs'!S126="","",'Model inputs'!S126=1))="",FALSE,IF(ISERROR('Model inputs'!S126=1),'Model inputs'!S126=1,IF('Model inputs'!S126="","",'Model inputs'!S126=1))),IF('Model inputs'!S119="","",'Model inputs'!S119),'Model inputs'!R71+'Model inputs'!S119)</f>
        <v>#VALUE!</v>
      </c>
      <c r="T71" t="e" s="15">
        <f>IF(IF(IF(ISERROR('Model inputs'!T126=1),'Model inputs'!T126=1,IF('Model inputs'!T126="","",'Model inputs'!T126=1))="",FALSE,IF(ISERROR('Model inputs'!T126=1),'Model inputs'!T126=1,IF('Model inputs'!T126="","",'Model inputs'!T126=1))),IF('Model inputs'!T119="","",'Model inputs'!T119),'Model inputs'!S71+'Model inputs'!T119)</f>
        <v>#VALUE!</v>
      </c>
      <c r="U71" t="e" s="15">
        <f>IF(IF(IF(ISERROR('Model inputs'!U126=1),'Model inputs'!U126=1,IF('Model inputs'!U126="","",'Model inputs'!U126=1))="",FALSE,IF(ISERROR('Model inputs'!U126=1),'Model inputs'!U126=1,IF('Model inputs'!U126="","",'Model inputs'!U126=1))),IF('Model inputs'!U119="","",'Model inputs'!U119),'Model inputs'!T71+'Model inputs'!U119)</f>
        <v>#VALUE!</v>
      </c>
      <c r="V71" t="e" s="15">
        <f>IF(IF(IF(ISERROR('Model inputs'!V126=1),'Model inputs'!V126=1,IF('Model inputs'!V126="","",'Model inputs'!V126=1))="",FALSE,IF(ISERROR('Model inputs'!V126=1),'Model inputs'!V126=1,IF('Model inputs'!V126="","",'Model inputs'!V126=1))),IF('Model inputs'!V119="","",'Model inputs'!V119),'Model inputs'!U71+'Model inputs'!V119)</f>
        <v>#VALUE!</v>
      </c>
      <c r="W71" t="e" s="15">
        <f>IF(IF(IF(ISERROR('Model inputs'!W126=1),'Model inputs'!W126=1,IF('Model inputs'!W126="","",'Model inputs'!W126=1))="",FALSE,IF(ISERROR('Model inputs'!W126=1),'Model inputs'!W126=1,IF('Model inputs'!W126="","",'Model inputs'!W126=1))),IF('Model inputs'!W119="","",'Model inputs'!W119),'Model inputs'!V71+'Model inputs'!W119)</f>
        <v>#VALUE!</v>
      </c>
    </row>
    <row r="72">
      <c r="A72" t="inlineStr" s="19">
        <is>
          <t xml:space="preserve">Cumulative operating cash · Cumulative operating cash · Downside · Downside</t>
        </is>
      </c>
      <c r="B72" t="e" s="15">
        <f>IF('Model inputs'!B17="","",'Model inputs'!B17)</f>
        <v>#VALUE!</v>
      </c>
      <c r="C72" s="15">
        <f>IF('Model inputs'!C17="","",'Model inputs'!C17)</f>
        <v>-154.5</v>
      </c>
      <c r="D72" s="15">
        <f>IF('Model inputs'!D17="","",'Model inputs'!D17)</f>
        <v>-313.5</v>
      </c>
      <c r="E72" s="15">
        <f>IF('Model inputs'!E17="","",'Model inputs'!E17)</f>
        <v>-294.5</v>
      </c>
      <c r="F72" s="15">
        <f>IF('Model inputs'!F17="","",'Model inputs'!F17)</f>
        <v>-275.5</v>
      </c>
      <c r="G72" s="15">
        <f>IF('Model inputs'!G17="","",'Model inputs'!G17)</f>
        <v>-72.5</v>
      </c>
      <c r="H72" s="15">
        <f>IF('Model inputs'!H17="","",'Model inputs'!H17)</f>
        <v>130.5</v>
      </c>
      <c r="I72" s="15">
        <f>IF('Model inputs'!I17="","",'Model inputs'!I17)</f>
        <v>-3482.5</v>
      </c>
      <c r="J72" s="15">
        <f>IF('Model inputs'!J17="","",'Model inputs'!J17)</f>
        <v>-6911.5</v>
      </c>
      <c r="K72" s="15">
        <f>IF('Model inputs'!K17="","",'Model inputs'!K17)</f>
        <v>-10156.5</v>
      </c>
      <c r="L72" s="15">
        <f>IF('Model inputs'!L17="","",'Model inputs'!L17)</f>
        <v>-13033.5</v>
      </c>
      <c r="M72" s="15">
        <f>IF('Model inputs'!M17="","",'Model inputs'!M17)</f>
        <v>-15542.5</v>
      </c>
      <c r="N72" s="15">
        <f>IF('Model inputs'!N17="","",'Model inputs'!N17)</f>
        <v>-17499.5</v>
      </c>
      <c r="P72" t="e" s="15">
        <f>IF(IF(IF(ISERROR('Model inputs'!P127=1),'Model inputs'!P127=1,IF('Model inputs'!P127="","",'Model inputs'!P127=1))="",FALSE,IF(ISERROR('Model inputs'!P127=1),'Model inputs'!P127=1,IF('Model inputs'!P127="","",'Model inputs'!P127=1))),IF('Model inputs'!P120="","",'Model inputs'!P120),0+'Model inputs'!P120)</f>
        <v>#VALUE!</v>
      </c>
      <c r="Q72" t="e" s="15">
        <f>IF(IF(IF(ISERROR('Model inputs'!Q127=1),'Model inputs'!Q127=1,IF('Model inputs'!Q127="","",'Model inputs'!Q127=1))="",FALSE,IF(ISERROR('Model inputs'!Q127=1),'Model inputs'!Q127=1,IF('Model inputs'!Q127="","",'Model inputs'!Q127=1))),IF('Model inputs'!Q120="","",'Model inputs'!Q120),'Model inputs'!P72+'Model inputs'!Q120)</f>
        <v>#VALUE!</v>
      </c>
      <c r="R72" t="e" s="15">
        <f>IF(IF(IF(ISERROR('Model inputs'!R127=1),'Model inputs'!R127=1,IF('Model inputs'!R127="","",'Model inputs'!R127=1))="",FALSE,IF(ISERROR('Model inputs'!R127=1),'Model inputs'!R127=1,IF('Model inputs'!R127="","",'Model inputs'!R127=1))),IF('Model inputs'!R120="","",'Model inputs'!R120),'Model inputs'!Q72+'Model inputs'!R120)</f>
        <v>#VALUE!</v>
      </c>
      <c r="S72" t="e" s="15">
        <f>IF(IF(IF(ISERROR('Model inputs'!S127=1),'Model inputs'!S127=1,IF('Model inputs'!S127="","",'Model inputs'!S127=1))="",FALSE,IF(ISERROR('Model inputs'!S127=1),'Model inputs'!S127=1,IF('Model inputs'!S127="","",'Model inputs'!S127=1))),IF('Model inputs'!S120="","",'Model inputs'!S120),'Model inputs'!R72+'Model inputs'!S120)</f>
        <v>#VALUE!</v>
      </c>
      <c r="T72" t="e" s="15">
        <f>IF(IF(IF(ISERROR('Model inputs'!T127=1),'Model inputs'!T127=1,IF('Model inputs'!T127="","",'Model inputs'!T127=1))="",FALSE,IF(ISERROR('Model inputs'!T127=1),'Model inputs'!T127=1,IF('Model inputs'!T127="","",'Model inputs'!T127=1))),IF('Model inputs'!T120="","",'Model inputs'!T120),'Model inputs'!S72+'Model inputs'!T120)</f>
        <v>#VALUE!</v>
      </c>
      <c r="U72" t="e" s="15">
        <f>IF(IF(IF(ISERROR('Model inputs'!U127=1),'Model inputs'!U127=1,IF('Model inputs'!U127="","",'Model inputs'!U127=1))="",FALSE,IF(ISERROR('Model inputs'!U127=1),'Model inputs'!U127=1,IF('Model inputs'!U127="","",'Model inputs'!U127=1))),IF('Model inputs'!U120="","",'Model inputs'!U120),'Model inputs'!T72+'Model inputs'!U120)</f>
        <v>#VALUE!</v>
      </c>
      <c r="V72" t="e" s="15">
        <f>IF(IF(IF(ISERROR('Model inputs'!V127=1),'Model inputs'!V127=1,IF('Model inputs'!V127="","",'Model inputs'!V127=1))="",FALSE,IF(ISERROR('Model inputs'!V127=1),'Model inputs'!V127=1,IF('Model inputs'!V127="","",'Model inputs'!V127=1))),IF('Model inputs'!V120="","",'Model inputs'!V120),'Model inputs'!U72+'Model inputs'!V120)</f>
        <v>#VALUE!</v>
      </c>
      <c r="W72" t="e" s="15">
        <f>IF(IF(IF(ISERROR('Model inputs'!W127=1),'Model inputs'!W127=1,IF('Model inputs'!W127="","",'Model inputs'!W127=1))="",FALSE,IF(ISERROR('Model inputs'!W127=1),'Model inputs'!W127=1,IF('Model inputs'!W127="","",'Model inputs'!W127=1))),IF('Model inputs'!W120="","",'Model inputs'!W120),'Model inputs'!V72+'Model inputs'!W120)</f>
        <v>#VALUE!</v>
      </c>
    </row>
    <row r="73">
      <c r="A73" t="inlineStr" s="19">
        <is>
          <t xml:space="preserve">Engineer hired · Cumulative operating cash · Main Scenario · Main Scenario</t>
        </is>
      </c>
      <c r="B73" t="e" s="8">
        <f>IF('Model inputs'!B24="","",'Model inputs'!B24)</f>
        <v>#VALUE!</v>
      </c>
      <c r="C73" s="8">
        <f>IF('Model inputs'!C24="","",'Model inputs'!C24)</f>
        <v>0</v>
      </c>
      <c r="D73" s="8">
        <f>IF('Model inputs'!D24="","",'Model inputs'!D24)</f>
        <v>0</v>
      </c>
      <c r="E73" s="8">
        <f>IF('Model inputs'!E24="","",'Model inputs'!E24)</f>
        <v>0</v>
      </c>
      <c r="F73" s="8">
        <f>IF('Model inputs'!F24="","",'Model inputs'!F24)</f>
        <v>0</v>
      </c>
      <c r="G73" s="8">
        <f>IF('Model inputs'!G24="","",'Model inputs'!G24)</f>
        <v>0</v>
      </c>
      <c r="H73" s="8">
        <f>IF('Model inputs'!H24="","",'Model inputs'!H24)</f>
        <v>0</v>
      </c>
      <c r="I73" s="8">
        <f>IF('Model inputs'!I24="","",'Model inputs'!I24)</f>
        <v>0</v>
      </c>
      <c r="J73" s="8">
        <f>IF('Model inputs'!J24="","",'Model inputs'!J24)</f>
        <v>0</v>
      </c>
      <c r="K73" s="8">
        <f>IF('Model inputs'!K24="","",'Model inputs'!K24)</f>
        <v>0</v>
      </c>
      <c r="L73" s="8">
        <f>IF('Model inputs'!L24="","",'Model inputs'!L24)</f>
        <v>0</v>
      </c>
      <c r="M73" s="8">
        <f>IF('Model inputs'!M24="","",'Model inputs'!M24)</f>
        <v>0</v>
      </c>
      <c r="N73" s="8">
        <f>IF('Model inputs'!N24="","",'Model inputs'!N24)</f>
        <v>0</v>
      </c>
      <c r="P73" t="e" s="8">
        <f>IF(IF(IF(ISERROR('Model inputs'!P125&lt;'Model inputs'!O18),'Model inputs'!P125&lt;'Model inputs'!O18,IF(OR('Model inputs'!P125="",'Model inputs'!O18=""),"",'Model inputs'!P125&lt;'Model inputs'!O18))="",FALSE,IF(ISERROR('Model inputs'!P125&lt;'Model inputs'!O18),'Model inputs'!P125&lt;'Model inputs'!O18,IF(OR('Model inputs'!P125="",'Model inputs'!O18=""),"",'Model inputs'!P125&lt;'Model inputs'!O18))),0,IF(IF(IF(IFERROR(IF(ISERROR(""=1),""=1,IF(""="","",""=1))=TRUE,FALSE),TRUE,IF(IFERROR('Model inputs'!B237=TRUE,FALSE),TRUE,IF(OR(IF(ISERROR(""=1),""=1,IF(""="","",""=1))="",'Model inputs'!B237=""),"",OR(IF(ISERROR(""=1),""=1,IF(""="","",""=1)),'Model inputs'!B237))))="",FALSE,IF(IFERROR(IF(ISERROR(""=1),""=1,IF(""="","",""=1))=TRUE,FALSE),TRUE,IF(IFERROR('Model inputs'!B237=TRUE,FALSE),TRUE,IF(OR(IF(ISERROR(""=1),""=1,IF(""="","",""=1))="",'Model inputs'!B237=""),"",OR(IF(ISERROR(""=1),""=1,IF(""="","",""=1)),'Model inputs'!B237))))),1,0))</f>
        <v>#VALUE!</v>
      </c>
      <c r="Q73" t="e" s="8">
        <f>IF(IF(IF(ISERROR('Model inputs'!Q125&lt;'Model inputs'!O18),'Model inputs'!Q125&lt;'Model inputs'!O18,IF(OR('Model inputs'!Q125="",'Model inputs'!O18=""),"",'Model inputs'!Q125&lt;'Model inputs'!O18))="",FALSE,IF(ISERROR('Model inputs'!Q125&lt;'Model inputs'!O18),'Model inputs'!Q125&lt;'Model inputs'!O18,IF(OR('Model inputs'!Q125="",'Model inputs'!O18=""),"",'Model inputs'!Q125&lt;'Model inputs'!O18))),0,IF(IF(IF(IFERROR(IF(ISERROR('Model inputs'!P73=1),'Model inputs'!P73=1,IF('Model inputs'!P73="","",'Model inputs'!P73=1))=TRUE,FALSE),TRUE,IF(IFERROR('Model inputs'!B238=TRUE,FALSE),TRUE,IF(OR(IF(ISERROR('Model inputs'!P73=1),'Model inputs'!P73=1,IF('Model inputs'!P73="","",'Model inputs'!P73=1))="",'Model inputs'!B238=""),"",OR(IF(ISERROR('Model inputs'!P73=1),'Model inputs'!P73=1,IF('Model inputs'!P73="","",'Model inputs'!P73=1)),'Model inputs'!B238))))="",FALSE,IF(IFERROR(IF(ISERROR('Model inputs'!P73=1),'Model inputs'!P73=1,IF('Model inputs'!P73="","",'Model inputs'!P73=1))=TRUE,FALSE),TRUE,IF(IFERROR('Model inputs'!B238=TRUE,FALSE),TRUE,IF(OR(IF(ISERROR('Model inputs'!P73=1),'Model inputs'!P73=1,IF('Model inputs'!P73="","",'Model inputs'!P73=1))="",'Model inputs'!B238=""),"",OR(IF(ISERROR('Model inputs'!P73=1),'Model inputs'!P73=1,IF('Model inputs'!P73="","",'Model inputs'!P73=1)),'Model inputs'!B238))))),1,0))</f>
        <v>#VALUE!</v>
      </c>
      <c r="R73" t="e" s="8">
        <f>IF(IF(IF(ISERROR('Model inputs'!R125&lt;'Model inputs'!O18),'Model inputs'!R125&lt;'Model inputs'!O18,IF(OR('Model inputs'!R125="",'Model inputs'!O18=""),"",'Model inputs'!R125&lt;'Model inputs'!O18))="",FALSE,IF(ISERROR('Model inputs'!R125&lt;'Model inputs'!O18),'Model inputs'!R125&lt;'Model inputs'!O18,IF(OR('Model inputs'!R125="",'Model inputs'!O18=""),"",'Model inputs'!R125&lt;'Model inputs'!O18))),0,IF(IF(IF(IFERROR(IF(ISERROR('Model inputs'!Q73=1),'Model inputs'!Q73=1,IF('Model inputs'!Q73="","",'Model inputs'!Q73=1))=TRUE,FALSE),TRUE,IF(IFERROR('Model inputs'!B239=TRUE,FALSE),TRUE,IF(OR(IF(ISERROR('Model inputs'!Q73=1),'Model inputs'!Q73=1,IF('Model inputs'!Q73="","",'Model inputs'!Q73=1))="",'Model inputs'!B239=""),"",OR(IF(ISERROR('Model inputs'!Q73=1),'Model inputs'!Q73=1,IF('Model inputs'!Q73="","",'Model inputs'!Q73=1)),'Model inputs'!B239))))="",FALSE,IF(IFERROR(IF(ISERROR('Model inputs'!Q73=1),'Model inputs'!Q73=1,IF('Model inputs'!Q73="","",'Model inputs'!Q73=1))=TRUE,FALSE),TRUE,IF(IFERROR('Model inputs'!B239=TRUE,FALSE),TRUE,IF(OR(IF(ISERROR('Model inputs'!Q73=1),'Model inputs'!Q73=1,IF('Model inputs'!Q73="","",'Model inputs'!Q73=1))="",'Model inputs'!B239=""),"",OR(IF(ISERROR('Model inputs'!Q73=1),'Model inputs'!Q73=1,IF('Model inputs'!Q73="","",'Model inputs'!Q73=1)),'Model inputs'!B239))))),1,0))</f>
        <v>#VALUE!</v>
      </c>
      <c r="S73" t="e" s="8">
        <f>IF(IF(IF(ISERROR('Model inputs'!S125&lt;'Model inputs'!O18),'Model inputs'!S125&lt;'Model inputs'!O18,IF(OR('Model inputs'!S125="",'Model inputs'!O18=""),"",'Model inputs'!S125&lt;'Model inputs'!O18))="",FALSE,IF(ISERROR('Model inputs'!S125&lt;'Model inputs'!O18),'Model inputs'!S125&lt;'Model inputs'!O18,IF(OR('Model inputs'!S125="",'Model inputs'!O18=""),"",'Model inputs'!S125&lt;'Model inputs'!O18))),0,IF(IF(IF(IFERROR(IF(ISERROR('Model inputs'!R73=1),'Model inputs'!R73=1,IF('Model inputs'!R73="","",'Model inputs'!R73=1))=TRUE,FALSE),TRUE,IF(IFERROR('Model inputs'!B240=TRUE,FALSE),TRUE,IF(OR(IF(ISERROR('Model inputs'!R73=1),'Model inputs'!R73=1,IF('Model inputs'!R73="","",'Model inputs'!R73=1))="",'Model inputs'!B240=""),"",OR(IF(ISERROR('Model inputs'!R73=1),'Model inputs'!R73=1,IF('Model inputs'!R73="","",'Model inputs'!R73=1)),'Model inputs'!B240))))="",FALSE,IF(IFERROR(IF(ISERROR('Model inputs'!R73=1),'Model inputs'!R73=1,IF('Model inputs'!R73="","",'Model inputs'!R73=1))=TRUE,FALSE),TRUE,IF(IFERROR('Model inputs'!B240=TRUE,FALSE),TRUE,IF(OR(IF(ISERROR('Model inputs'!R73=1),'Model inputs'!R73=1,IF('Model inputs'!R73="","",'Model inputs'!R73=1))="",'Model inputs'!B240=""),"",OR(IF(ISERROR('Model inputs'!R73=1),'Model inputs'!R73=1,IF('Model inputs'!R73="","",'Model inputs'!R73=1)),'Model inputs'!B240))))),1,0))</f>
        <v>#VALUE!</v>
      </c>
      <c r="T73" t="e" s="8">
        <f>IF(IF(IF(ISERROR('Model inputs'!T125&lt;'Model inputs'!O18),'Model inputs'!T125&lt;'Model inputs'!O18,IF(OR('Model inputs'!T125="",'Model inputs'!O18=""),"",'Model inputs'!T125&lt;'Model inputs'!O18))="",FALSE,IF(ISERROR('Model inputs'!T125&lt;'Model inputs'!O18),'Model inputs'!T125&lt;'Model inputs'!O18,IF(OR('Model inputs'!T125="",'Model inputs'!O18=""),"",'Model inputs'!T125&lt;'Model inputs'!O18))),0,IF(IF(IF(IFERROR(IF(ISERROR('Model inputs'!S73=1),'Model inputs'!S73=1,IF('Model inputs'!S73="","",'Model inputs'!S73=1))=TRUE,FALSE),TRUE,IF(IFERROR('Model inputs'!B241=TRUE,FALSE),TRUE,IF(OR(IF(ISERROR('Model inputs'!S73=1),'Model inputs'!S73=1,IF('Model inputs'!S73="","",'Model inputs'!S73=1))="",'Model inputs'!B241=""),"",OR(IF(ISERROR('Model inputs'!S73=1),'Model inputs'!S73=1,IF('Model inputs'!S73="","",'Model inputs'!S73=1)),'Model inputs'!B241))))="",FALSE,IF(IFERROR(IF(ISERROR('Model inputs'!S73=1),'Model inputs'!S73=1,IF('Model inputs'!S73="","",'Model inputs'!S73=1))=TRUE,FALSE),TRUE,IF(IFERROR('Model inputs'!B241=TRUE,FALSE),TRUE,IF(OR(IF(ISERROR('Model inputs'!S73=1),'Model inputs'!S73=1,IF('Model inputs'!S73="","",'Model inputs'!S73=1))="",'Model inputs'!B241=""),"",OR(IF(ISERROR('Model inputs'!S73=1),'Model inputs'!S73=1,IF('Model inputs'!S73="","",'Model inputs'!S73=1)),'Model inputs'!B241))))),1,0))</f>
        <v>#VALUE!</v>
      </c>
      <c r="U73" t="e" s="8">
        <f>IF(IF(IF(ISERROR('Model inputs'!U125&lt;'Model inputs'!O18),'Model inputs'!U125&lt;'Model inputs'!O18,IF(OR('Model inputs'!U125="",'Model inputs'!O18=""),"",'Model inputs'!U125&lt;'Model inputs'!O18))="",FALSE,IF(ISERROR('Model inputs'!U125&lt;'Model inputs'!O18),'Model inputs'!U125&lt;'Model inputs'!O18,IF(OR('Model inputs'!U125="",'Model inputs'!O18=""),"",'Model inputs'!U125&lt;'Model inputs'!O18))),0,IF(IF(IF(IFERROR(IF(ISERROR('Model inputs'!T73=1),'Model inputs'!T73=1,IF('Model inputs'!T73="","",'Model inputs'!T73=1))=TRUE,FALSE),TRUE,IF(IFERROR('Model inputs'!B242=TRUE,FALSE),TRUE,IF(OR(IF(ISERROR('Model inputs'!T73=1),'Model inputs'!T73=1,IF('Model inputs'!T73="","",'Model inputs'!T73=1))="",'Model inputs'!B242=""),"",OR(IF(ISERROR('Model inputs'!T73=1),'Model inputs'!T73=1,IF('Model inputs'!T73="","",'Model inputs'!T73=1)),'Model inputs'!B242))))="",FALSE,IF(IFERROR(IF(ISERROR('Model inputs'!T73=1),'Model inputs'!T73=1,IF('Model inputs'!T73="","",'Model inputs'!T73=1))=TRUE,FALSE),TRUE,IF(IFERROR('Model inputs'!B242=TRUE,FALSE),TRUE,IF(OR(IF(ISERROR('Model inputs'!T73=1),'Model inputs'!T73=1,IF('Model inputs'!T73="","",'Model inputs'!T73=1))="",'Model inputs'!B242=""),"",OR(IF(ISERROR('Model inputs'!T73=1),'Model inputs'!T73=1,IF('Model inputs'!T73="","",'Model inputs'!T73=1)),'Model inputs'!B242))))),1,0))</f>
        <v>#VALUE!</v>
      </c>
      <c r="V73" t="e" s="8">
        <f>IF(IF(IF(ISERROR('Model inputs'!V125&lt;'Model inputs'!O18),'Model inputs'!V125&lt;'Model inputs'!O18,IF(OR('Model inputs'!V125="",'Model inputs'!O18=""),"",'Model inputs'!V125&lt;'Model inputs'!O18))="",FALSE,IF(ISERROR('Model inputs'!V125&lt;'Model inputs'!O18),'Model inputs'!V125&lt;'Model inputs'!O18,IF(OR('Model inputs'!V125="",'Model inputs'!O18=""),"",'Model inputs'!V125&lt;'Model inputs'!O18))),0,IF(IF(IF(IFERROR(IF(ISERROR('Model inputs'!U73=1),'Model inputs'!U73=1,IF('Model inputs'!U73="","",'Model inputs'!U73=1))=TRUE,FALSE),TRUE,IF(IFERROR('Model inputs'!B243=TRUE,FALSE),TRUE,IF(OR(IF(ISERROR('Model inputs'!U73=1),'Model inputs'!U73=1,IF('Model inputs'!U73="","",'Model inputs'!U73=1))="",'Model inputs'!B243=""),"",OR(IF(ISERROR('Model inputs'!U73=1),'Model inputs'!U73=1,IF('Model inputs'!U73="","",'Model inputs'!U73=1)),'Model inputs'!B243))))="",FALSE,IF(IFERROR(IF(ISERROR('Model inputs'!U73=1),'Model inputs'!U73=1,IF('Model inputs'!U73="","",'Model inputs'!U73=1))=TRUE,FALSE),TRUE,IF(IFERROR('Model inputs'!B243=TRUE,FALSE),TRUE,IF(OR(IF(ISERROR('Model inputs'!U73=1),'Model inputs'!U73=1,IF('Model inputs'!U73="","",'Model inputs'!U73=1))="",'Model inputs'!B243=""),"",OR(IF(ISERROR('Model inputs'!U73=1),'Model inputs'!U73=1,IF('Model inputs'!U73="","",'Model inputs'!U73=1)),'Model inputs'!B243))))),1,0))</f>
        <v>#VALUE!</v>
      </c>
      <c r="W73" t="e" s="8">
        <f>IF(IF(IF(ISERROR('Model inputs'!W125&lt;'Model inputs'!O18),'Model inputs'!W125&lt;'Model inputs'!O18,IF(OR('Model inputs'!W125="",'Model inputs'!O18=""),"",'Model inputs'!W125&lt;'Model inputs'!O18))="",FALSE,IF(ISERROR('Model inputs'!W125&lt;'Model inputs'!O18),'Model inputs'!W125&lt;'Model inputs'!O18,IF(OR('Model inputs'!W125="",'Model inputs'!O18=""),"",'Model inputs'!W125&lt;'Model inputs'!O18))),0,IF(IF(IF(IFERROR(IF(ISERROR('Model inputs'!V73=1),'Model inputs'!V73=1,IF('Model inputs'!V73="","",'Model inputs'!V73=1))=TRUE,FALSE),TRUE,IF(IFERROR('Model inputs'!B244=TRUE,FALSE),TRUE,IF(OR(IF(ISERROR('Model inputs'!V73=1),'Model inputs'!V73=1,IF('Model inputs'!V73="","",'Model inputs'!V73=1))="",'Model inputs'!B244=""),"",OR(IF(ISERROR('Model inputs'!V73=1),'Model inputs'!V73=1,IF('Model inputs'!V73="","",'Model inputs'!V73=1)),'Model inputs'!B244))))="",FALSE,IF(IFERROR(IF(ISERROR('Model inputs'!V73=1),'Model inputs'!V73=1,IF('Model inputs'!V73="","",'Model inputs'!V73=1))=TRUE,FALSE),TRUE,IF(IFERROR('Model inputs'!B244=TRUE,FALSE),TRUE,IF(OR(IF(ISERROR('Model inputs'!V73=1),'Model inputs'!V73=1,IF('Model inputs'!V73="","",'Model inputs'!V73=1))="",'Model inputs'!B244=""),"",OR(IF(ISERROR('Model inputs'!V73=1),'Model inputs'!V73=1,IF('Model inputs'!V73="","",'Model inputs'!V73=1)),'Model inputs'!B244))))),1,0))</f>
        <v>#VALUE!</v>
      </c>
    </row>
    <row r="74">
      <c r="A74" t="inlineStr" s="19">
        <is>
          <t xml:space="preserve">Engineer hired · Cumulative operating cash · Upside · Upside</t>
        </is>
      </c>
      <c r="B74" t="e" s="8">
        <f>IF('Model inputs'!B25="","",'Model inputs'!B25)</f>
        <v>#VALUE!</v>
      </c>
      <c r="C74" s="8">
        <f>IF('Model inputs'!C25="","",'Model inputs'!C25)</f>
        <v>0</v>
      </c>
      <c r="D74" s="8">
        <f>IF('Model inputs'!D25="","",'Model inputs'!D25)</f>
        <v>0</v>
      </c>
      <c r="E74" s="8">
        <f>IF('Model inputs'!E25="","",'Model inputs'!E25)</f>
        <v>0</v>
      </c>
      <c r="F74" s="8">
        <f>IF('Model inputs'!F25="","",'Model inputs'!F25)</f>
        <v>0</v>
      </c>
      <c r="G74" s="8">
        <f>IF('Model inputs'!G25="","",'Model inputs'!G25)</f>
        <v>0</v>
      </c>
      <c r="H74" s="8">
        <f>IF('Model inputs'!H25="","",'Model inputs'!H25)</f>
        <v>0</v>
      </c>
      <c r="I74" s="8">
        <f>IF('Model inputs'!I25="","",'Model inputs'!I25)</f>
        <v>0</v>
      </c>
      <c r="J74" s="8">
        <f>IF('Model inputs'!J25="","",'Model inputs'!J25)</f>
        <v>0</v>
      </c>
      <c r="K74" s="8">
        <f>IF('Model inputs'!K25="","",'Model inputs'!K25)</f>
        <v>0</v>
      </c>
      <c r="L74" s="8">
        <f>IF('Model inputs'!L25="","",'Model inputs'!L25)</f>
        <v>0</v>
      </c>
      <c r="M74" s="8">
        <f>IF('Model inputs'!M25="","",'Model inputs'!M25)</f>
        <v>0</v>
      </c>
      <c r="N74" s="8">
        <f>IF('Model inputs'!N25="","",'Model inputs'!N25)</f>
        <v>1</v>
      </c>
      <c r="P74" t="e" s="8">
        <f>IF(IF(IF(ISERROR('Model inputs'!P126&lt;'Model inputs'!O19),'Model inputs'!P126&lt;'Model inputs'!O19,IF(OR('Model inputs'!P126="",'Model inputs'!O19=""),"",'Model inputs'!P126&lt;'Model inputs'!O19))="",FALSE,IF(ISERROR('Model inputs'!P126&lt;'Model inputs'!O19),'Model inputs'!P126&lt;'Model inputs'!O19,IF(OR('Model inputs'!P126="",'Model inputs'!O19=""),"",'Model inputs'!P126&lt;'Model inputs'!O19))),0,IF(IF(IF(IFERROR(IF(ISERROR(""=1),""=1,IF(""="","",""=1))=TRUE,FALSE),TRUE,IF(IFERROR('Model inputs'!B245=TRUE,FALSE),TRUE,IF(OR(IF(ISERROR(""=1),""=1,IF(""="","",""=1))="",'Model inputs'!B245=""),"",OR(IF(ISERROR(""=1),""=1,IF(""="","",""=1)),'Model inputs'!B245))))="",FALSE,IF(IFERROR(IF(ISERROR(""=1),""=1,IF(""="","",""=1))=TRUE,FALSE),TRUE,IF(IFERROR('Model inputs'!B245=TRUE,FALSE),TRUE,IF(OR(IF(ISERROR(""=1),""=1,IF(""="","",""=1))="",'Model inputs'!B245=""),"",OR(IF(ISERROR(""=1),""=1,IF(""="","",""=1)),'Model inputs'!B245))))),1,0))</f>
        <v>#VALUE!</v>
      </c>
      <c r="Q74" t="e" s="8">
        <f>IF(IF(IF(ISERROR('Model inputs'!Q126&lt;'Model inputs'!O19),'Model inputs'!Q126&lt;'Model inputs'!O19,IF(OR('Model inputs'!Q126="",'Model inputs'!O19=""),"",'Model inputs'!Q126&lt;'Model inputs'!O19))="",FALSE,IF(ISERROR('Model inputs'!Q126&lt;'Model inputs'!O19),'Model inputs'!Q126&lt;'Model inputs'!O19,IF(OR('Model inputs'!Q126="",'Model inputs'!O19=""),"",'Model inputs'!Q126&lt;'Model inputs'!O19))),0,IF(IF(IF(IFERROR(IF(ISERROR('Model inputs'!P74=1),'Model inputs'!P74=1,IF('Model inputs'!P74="","",'Model inputs'!P74=1))=TRUE,FALSE),TRUE,IF(IFERROR('Model inputs'!B246=TRUE,FALSE),TRUE,IF(OR(IF(ISERROR('Model inputs'!P74=1),'Model inputs'!P74=1,IF('Model inputs'!P74="","",'Model inputs'!P74=1))="",'Model inputs'!B246=""),"",OR(IF(ISERROR('Model inputs'!P74=1),'Model inputs'!P74=1,IF('Model inputs'!P74="","",'Model inputs'!P74=1)),'Model inputs'!B246))))="",FALSE,IF(IFERROR(IF(ISERROR('Model inputs'!P74=1),'Model inputs'!P74=1,IF('Model inputs'!P74="","",'Model inputs'!P74=1))=TRUE,FALSE),TRUE,IF(IFERROR('Model inputs'!B246=TRUE,FALSE),TRUE,IF(OR(IF(ISERROR('Model inputs'!P74=1),'Model inputs'!P74=1,IF('Model inputs'!P74="","",'Model inputs'!P74=1))="",'Model inputs'!B246=""),"",OR(IF(ISERROR('Model inputs'!P74=1),'Model inputs'!P74=1,IF('Model inputs'!P74="","",'Model inputs'!P74=1)),'Model inputs'!B246))))),1,0))</f>
        <v>#VALUE!</v>
      </c>
      <c r="R74" t="e" s="8">
        <f>IF(IF(IF(ISERROR('Model inputs'!R126&lt;'Model inputs'!O19),'Model inputs'!R126&lt;'Model inputs'!O19,IF(OR('Model inputs'!R126="",'Model inputs'!O19=""),"",'Model inputs'!R126&lt;'Model inputs'!O19))="",FALSE,IF(ISERROR('Model inputs'!R126&lt;'Model inputs'!O19),'Model inputs'!R126&lt;'Model inputs'!O19,IF(OR('Model inputs'!R126="",'Model inputs'!O19=""),"",'Model inputs'!R126&lt;'Model inputs'!O19))),0,IF(IF(IF(IFERROR(IF(ISERROR('Model inputs'!Q74=1),'Model inputs'!Q74=1,IF('Model inputs'!Q74="","",'Model inputs'!Q74=1))=TRUE,FALSE),TRUE,IF(IFERROR('Model inputs'!B247=TRUE,FALSE),TRUE,IF(OR(IF(ISERROR('Model inputs'!Q74=1),'Model inputs'!Q74=1,IF('Model inputs'!Q74="","",'Model inputs'!Q74=1))="",'Model inputs'!B247=""),"",OR(IF(ISERROR('Model inputs'!Q74=1),'Model inputs'!Q74=1,IF('Model inputs'!Q74="","",'Model inputs'!Q74=1)),'Model inputs'!B247))))="",FALSE,IF(IFERROR(IF(ISERROR('Model inputs'!Q74=1),'Model inputs'!Q74=1,IF('Model inputs'!Q74="","",'Model inputs'!Q74=1))=TRUE,FALSE),TRUE,IF(IFERROR('Model inputs'!B247=TRUE,FALSE),TRUE,IF(OR(IF(ISERROR('Model inputs'!Q74=1),'Model inputs'!Q74=1,IF('Model inputs'!Q74="","",'Model inputs'!Q74=1))="",'Model inputs'!B247=""),"",OR(IF(ISERROR('Model inputs'!Q74=1),'Model inputs'!Q74=1,IF('Model inputs'!Q74="","",'Model inputs'!Q74=1)),'Model inputs'!B247))))),1,0))</f>
        <v>#VALUE!</v>
      </c>
      <c r="S74" t="e" s="8">
        <f>IF(IF(IF(ISERROR('Model inputs'!S126&lt;'Model inputs'!O19),'Model inputs'!S126&lt;'Model inputs'!O19,IF(OR('Model inputs'!S126="",'Model inputs'!O19=""),"",'Model inputs'!S126&lt;'Model inputs'!O19))="",FALSE,IF(ISERROR('Model inputs'!S126&lt;'Model inputs'!O19),'Model inputs'!S126&lt;'Model inputs'!O19,IF(OR('Model inputs'!S126="",'Model inputs'!O19=""),"",'Model inputs'!S126&lt;'Model inputs'!O19))),0,IF(IF(IF(IFERROR(IF(ISERROR('Model inputs'!R74=1),'Model inputs'!R74=1,IF('Model inputs'!R74="","",'Model inputs'!R74=1))=TRUE,FALSE),TRUE,IF(IFERROR('Model inputs'!B248=TRUE,FALSE),TRUE,IF(OR(IF(ISERROR('Model inputs'!R74=1),'Model inputs'!R74=1,IF('Model inputs'!R74="","",'Model inputs'!R74=1))="",'Model inputs'!B248=""),"",OR(IF(ISERROR('Model inputs'!R74=1),'Model inputs'!R74=1,IF('Model inputs'!R74="","",'Model inputs'!R74=1)),'Model inputs'!B248))))="",FALSE,IF(IFERROR(IF(ISERROR('Model inputs'!R74=1),'Model inputs'!R74=1,IF('Model inputs'!R74="","",'Model inputs'!R74=1))=TRUE,FALSE),TRUE,IF(IFERROR('Model inputs'!B248=TRUE,FALSE),TRUE,IF(OR(IF(ISERROR('Model inputs'!R74=1),'Model inputs'!R74=1,IF('Model inputs'!R74="","",'Model inputs'!R74=1))="",'Model inputs'!B248=""),"",OR(IF(ISERROR('Model inputs'!R74=1),'Model inputs'!R74=1,IF('Model inputs'!R74="","",'Model inputs'!R74=1)),'Model inputs'!B248))))),1,0))</f>
        <v>#VALUE!</v>
      </c>
      <c r="T74" t="e" s="8">
        <f>IF(IF(IF(ISERROR('Model inputs'!T126&lt;'Model inputs'!O19),'Model inputs'!T126&lt;'Model inputs'!O19,IF(OR('Model inputs'!T126="",'Model inputs'!O19=""),"",'Model inputs'!T126&lt;'Model inputs'!O19))="",FALSE,IF(ISERROR('Model inputs'!T126&lt;'Model inputs'!O19),'Model inputs'!T126&lt;'Model inputs'!O19,IF(OR('Model inputs'!T126="",'Model inputs'!O19=""),"",'Model inputs'!T126&lt;'Model inputs'!O19))),0,IF(IF(IF(IFERROR(IF(ISERROR('Model inputs'!S74=1),'Model inputs'!S74=1,IF('Model inputs'!S74="","",'Model inputs'!S74=1))=TRUE,FALSE),TRUE,IF(IFERROR('Model inputs'!B249=TRUE,FALSE),TRUE,IF(OR(IF(ISERROR('Model inputs'!S74=1),'Model inputs'!S74=1,IF('Model inputs'!S74="","",'Model inputs'!S74=1))="",'Model inputs'!B249=""),"",OR(IF(ISERROR('Model inputs'!S74=1),'Model inputs'!S74=1,IF('Model inputs'!S74="","",'Model inputs'!S74=1)),'Model inputs'!B249))))="",FALSE,IF(IFERROR(IF(ISERROR('Model inputs'!S74=1),'Model inputs'!S74=1,IF('Model inputs'!S74="","",'Model inputs'!S74=1))=TRUE,FALSE),TRUE,IF(IFERROR('Model inputs'!B249=TRUE,FALSE),TRUE,IF(OR(IF(ISERROR('Model inputs'!S74=1),'Model inputs'!S74=1,IF('Model inputs'!S74="","",'Model inputs'!S74=1))="",'Model inputs'!B249=""),"",OR(IF(ISERROR('Model inputs'!S74=1),'Model inputs'!S74=1,IF('Model inputs'!S74="","",'Model inputs'!S74=1)),'Model inputs'!B249))))),1,0))</f>
        <v>#VALUE!</v>
      </c>
      <c r="U74" t="e" s="8">
        <f>IF(IF(IF(ISERROR('Model inputs'!U126&lt;'Model inputs'!O19),'Model inputs'!U126&lt;'Model inputs'!O19,IF(OR('Model inputs'!U126="",'Model inputs'!O19=""),"",'Model inputs'!U126&lt;'Model inputs'!O19))="",FALSE,IF(ISERROR('Model inputs'!U126&lt;'Model inputs'!O19),'Model inputs'!U126&lt;'Model inputs'!O19,IF(OR('Model inputs'!U126="",'Model inputs'!O19=""),"",'Model inputs'!U126&lt;'Model inputs'!O19))),0,IF(IF(IF(IFERROR(IF(ISERROR('Model inputs'!T74=1),'Model inputs'!T74=1,IF('Model inputs'!T74="","",'Model inputs'!T74=1))=TRUE,FALSE),TRUE,IF(IFERROR('Model inputs'!B250=TRUE,FALSE),TRUE,IF(OR(IF(ISERROR('Model inputs'!T74=1),'Model inputs'!T74=1,IF('Model inputs'!T74="","",'Model inputs'!T74=1))="",'Model inputs'!B250=""),"",OR(IF(ISERROR('Model inputs'!T74=1),'Model inputs'!T74=1,IF('Model inputs'!T74="","",'Model inputs'!T74=1)),'Model inputs'!B250))))="",FALSE,IF(IFERROR(IF(ISERROR('Model inputs'!T74=1),'Model inputs'!T74=1,IF('Model inputs'!T74="","",'Model inputs'!T74=1))=TRUE,FALSE),TRUE,IF(IFERROR('Model inputs'!B250=TRUE,FALSE),TRUE,IF(OR(IF(ISERROR('Model inputs'!T74=1),'Model inputs'!T74=1,IF('Model inputs'!T74="","",'Model inputs'!T74=1))="",'Model inputs'!B250=""),"",OR(IF(ISERROR('Model inputs'!T74=1),'Model inputs'!T74=1,IF('Model inputs'!T74="","",'Model inputs'!T74=1)),'Model inputs'!B250))))),1,0))</f>
        <v>#VALUE!</v>
      </c>
      <c r="V74" t="e" s="8">
        <f>IF(IF(IF(ISERROR('Model inputs'!V126&lt;'Model inputs'!O19),'Model inputs'!V126&lt;'Model inputs'!O19,IF(OR('Model inputs'!V126="",'Model inputs'!O19=""),"",'Model inputs'!V126&lt;'Model inputs'!O19))="",FALSE,IF(ISERROR('Model inputs'!V126&lt;'Model inputs'!O19),'Model inputs'!V126&lt;'Model inputs'!O19,IF(OR('Model inputs'!V126="",'Model inputs'!O19=""),"",'Model inputs'!V126&lt;'Model inputs'!O19))),0,IF(IF(IF(IFERROR(IF(ISERROR('Model inputs'!U74=1),'Model inputs'!U74=1,IF('Model inputs'!U74="","",'Model inputs'!U74=1))=TRUE,FALSE),TRUE,IF(IFERROR('Model inputs'!B251=TRUE,FALSE),TRUE,IF(OR(IF(ISERROR('Model inputs'!U74=1),'Model inputs'!U74=1,IF('Model inputs'!U74="","",'Model inputs'!U74=1))="",'Model inputs'!B251=""),"",OR(IF(ISERROR('Model inputs'!U74=1),'Model inputs'!U74=1,IF('Model inputs'!U74="","",'Model inputs'!U74=1)),'Model inputs'!B251))))="",FALSE,IF(IFERROR(IF(ISERROR('Model inputs'!U74=1),'Model inputs'!U74=1,IF('Model inputs'!U74="","",'Model inputs'!U74=1))=TRUE,FALSE),TRUE,IF(IFERROR('Model inputs'!B251=TRUE,FALSE),TRUE,IF(OR(IF(ISERROR('Model inputs'!U74=1),'Model inputs'!U74=1,IF('Model inputs'!U74="","",'Model inputs'!U74=1))="",'Model inputs'!B251=""),"",OR(IF(ISERROR('Model inputs'!U74=1),'Model inputs'!U74=1,IF('Model inputs'!U74="","",'Model inputs'!U74=1)),'Model inputs'!B251))))),1,0))</f>
        <v>#VALUE!</v>
      </c>
      <c r="W74" t="e" s="8">
        <f>IF(IF(IF(ISERROR('Model inputs'!W126&lt;'Model inputs'!O19),'Model inputs'!W126&lt;'Model inputs'!O19,IF(OR('Model inputs'!W126="",'Model inputs'!O19=""),"",'Model inputs'!W126&lt;'Model inputs'!O19))="",FALSE,IF(ISERROR('Model inputs'!W126&lt;'Model inputs'!O19),'Model inputs'!W126&lt;'Model inputs'!O19,IF(OR('Model inputs'!W126="",'Model inputs'!O19=""),"",'Model inputs'!W126&lt;'Model inputs'!O19))),0,IF(IF(IF(IFERROR(IF(ISERROR('Model inputs'!V74=1),'Model inputs'!V74=1,IF('Model inputs'!V74="","",'Model inputs'!V74=1))=TRUE,FALSE),TRUE,IF(IFERROR('Model inputs'!B252=TRUE,FALSE),TRUE,IF(OR(IF(ISERROR('Model inputs'!V74=1),'Model inputs'!V74=1,IF('Model inputs'!V74="","",'Model inputs'!V74=1))="",'Model inputs'!B252=""),"",OR(IF(ISERROR('Model inputs'!V74=1),'Model inputs'!V74=1,IF('Model inputs'!V74="","",'Model inputs'!V74=1)),'Model inputs'!B252))))="",FALSE,IF(IFERROR(IF(ISERROR('Model inputs'!V74=1),'Model inputs'!V74=1,IF('Model inputs'!V74="","",'Model inputs'!V74=1))=TRUE,FALSE),TRUE,IF(IFERROR('Model inputs'!B252=TRUE,FALSE),TRUE,IF(OR(IF(ISERROR('Model inputs'!V74=1),'Model inputs'!V74=1,IF('Model inputs'!V74="","",'Model inputs'!V74=1))="",'Model inputs'!B252=""),"",OR(IF(ISERROR('Model inputs'!V74=1),'Model inputs'!V74=1,IF('Model inputs'!V74="","",'Model inputs'!V74=1)),'Model inputs'!B252))))),1,0))</f>
        <v>#VALUE!</v>
      </c>
    </row>
    <row r="75">
      <c r="A75" t="inlineStr" s="19">
        <is>
          <t xml:space="preserve">Engineer hired · Cumulative operating cash · Downside · Downside</t>
        </is>
      </c>
      <c r="B75" t="e" s="8">
        <f>IF('Model inputs'!B26="","",'Model inputs'!B26)</f>
        <v>#VALUE!</v>
      </c>
      <c r="C75" s="8">
        <f>IF('Model inputs'!C26="","",'Model inputs'!C26)</f>
        <v>0</v>
      </c>
      <c r="D75" s="8">
        <f>IF('Model inputs'!D26="","",'Model inputs'!D26)</f>
        <v>0</v>
      </c>
      <c r="E75" s="8">
        <f>IF('Model inputs'!E26="","",'Model inputs'!E26)</f>
        <v>0</v>
      </c>
      <c r="F75" s="8">
        <f>IF('Model inputs'!F26="","",'Model inputs'!F26)</f>
        <v>0</v>
      </c>
      <c r="G75" s="8">
        <f>IF('Model inputs'!G26="","",'Model inputs'!G26)</f>
        <v>0</v>
      </c>
      <c r="H75" s="8">
        <f>IF('Model inputs'!H26="","",'Model inputs'!H26)</f>
        <v>0</v>
      </c>
      <c r="I75" s="8">
        <f>IF('Model inputs'!I26="","",'Model inputs'!I26)</f>
        <v>0</v>
      </c>
      <c r="J75" s="8">
        <f>IF('Model inputs'!J26="","",'Model inputs'!J26)</f>
        <v>0</v>
      </c>
      <c r="K75" s="8">
        <f>IF('Model inputs'!K26="","",'Model inputs'!K26)</f>
        <v>0</v>
      </c>
      <c r="L75" s="8">
        <f>IF('Model inputs'!L26="","",'Model inputs'!L26)</f>
        <v>0</v>
      </c>
      <c r="M75" s="8">
        <f>IF('Model inputs'!M26="","",'Model inputs'!M26)</f>
        <v>0</v>
      </c>
      <c r="N75" s="8">
        <f>IF('Model inputs'!N26="","",'Model inputs'!N26)</f>
        <v>0</v>
      </c>
      <c r="P75" t="e" s="8">
        <f>IF(IF(IF(ISERROR('Model inputs'!P127&lt;'Model inputs'!O20),'Model inputs'!P127&lt;'Model inputs'!O20,IF(OR('Model inputs'!P127="",'Model inputs'!O20=""),"",'Model inputs'!P127&lt;'Model inputs'!O20))="",FALSE,IF(ISERROR('Model inputs'!P127&lt;'Model inputs'!O20),'Model inputs'!P127&lt;'Model inputs'!O20,IF(OR('Model inputs'!P127="",'Model inputs'!O20=""),"",'Model inputs'!P127&lt;'Model inputs'!O20))),0,IF(IF(IF(IFERROR(IF(ISERROR(""=1),""=1,IF(""="","",""=1))=TRUE,FALSE),TRUE,IF(IFERROR('Model inputs'!B253=TRUE,FALSE),TRUE,IF(OR(IF(ISERROR(""=1),""=1,IF(""="","",""=1))="",'Model inputs'!B253=""),"",OR(IF(ISERROR(""=1),""=1,IF(""="","",""=1)),'Model inputs'!B253))))="",FALSE,IF(IFERROR(IF(ISERROR(""=1),""=1,IF(""="","",""=1))=TRUE,FALSE),TRUE,IF(IFERROR('Model inputs'!B253=TRUE,FALSE),TRUE,IF(OR(IF(ISERROR(""=1),""=1,IF(""="","",""=1))="",'Model inputs'!B253=""),"",OR(IF(ISERROR(""=1),""=1,IF(""="","",""=1)),'Model inputs'!B253))))),1,0))</f>
        <v>#VALUE!</v>
      </c>
      <c r="Q75" t="e" s="8">
        <f>IF(IF(IF(ISERROR('Model inputs'!Q127&lt;'Model inputs'!O20),'Model inputs'!Q127&lt;'Model inputs'!O20,IF(OR('Model inputs'!Q127="",'Model inputs'!O20=""),"",'Model inputs'!Q127&lt;'Model inputs'!O20))="",FALSE,IF(ISERROR('Model inputs'!Q127&lt;'Model inputs'!O20),'Model inputs'!Q127&lt;'Model inputs'!O20,IF(OR('Model inputs'!Q127="",'Model inputs'!O20=""),"",'Model inputs'!Q127&lt;'Model inputs'!O20))),0,IF(IF(IF(IFERROR(IF(ISERROR('Model inputs'!P75=1),'Model inputs'!P75=1,IF('Model inputs'!P75="","",'Model inputs'!P75=1))=TRUE,FALSE),TRUE,IF(IFERROR('Model inputs'!B254=TRUE,FALSE),TRUE,IF(OR(IF(ISERROR('Model inputs'!P75=1),'Model inputs'!P75=1,IF('Model inputs'!P75="","",'Model inputs'!P75=1))="",'Model inputs'!B254=""),"",OR(IF(ISERROR('Model inputs'!P75=1),'Model inputs'!P75=1,IF('Model inputs'!P75="","",'Model inputs'!P75=1)),'Model inputs'!B254))))="",FALSE,IF(IFERROR(IF(ISERROR('Model inputs'!P75=1),'Model inputs'!P75=1,IF('Model inputs'!P75="","",'Model inputs'!P75=1))=TRUE,FALSE),TRUE,IF(IFERROR('Model inputs'!B254=TRUE,FALSE),TRUE,IF(OR(IF(ISERROR('Model inputs'!P75=1),'Model inputs'!P75=1,IF('Model inputs'!P75="","",'Model inputs'!P75=1))="",'Model inputs'!B254=""),"",OR(IF(ISERROR('Model inputs'!P75=1),'Model inputs'!P75=1,IF('Model inputs'!P75="","",'Model inputs'!P75=1)),'Model inputs'!B254))))),1,0))</f>
        <v>#VALUE!</v>
      </c>
      <c r="R75" t="e" s="8">
        <f>IF(IF(IF(ISERROR('Model inputs'!R127&lt;'Model inputs'!O20),'Model inputs'!R127&lt;'Model inputs'!O20,IF(OR('Model inputs'!R127="",'Model inputs'!O20=""),"",'Model inputs'!R127&lt;'Model inputs'!O20))="",FALSE,IF(ISERROR('Model inputs'!R127&lt;'Model inputs'!O20),'Model inputs'!R127&lt;'Model inputs'!O20,IF(OR('Model inputs'!R127="",'Model inputs'!O20=""),"",'Model inputs'!R127&lt;'Model inputs'!O20))),0,IF(IF(IF(IFERROR(IF(ISERROR('Model inputs'!Q75=1),'Model inputs'!Q75=1,IF('Model inputs'!Q75="","",'Model inputs'!Q75=1))=TRUE,FALSE),TRUE,IF(IFERROR('Model inputs'!B255=TRUE,FALSE),TRUE,IF(OR(IF(ISERROR('Model inputs'!Q75=1),'Model inputs'!Q75=1,IF('Model inputs'!Q75="","",'Model inputs'!Q75=1))="",'Model inputs'!B255=""),"",OR(IF(ISERROR('Model inputs'!Q75=1),'Model inputs'!Q75=1,IF('Model inputs'!Q75="","",'Model inputs'!Q75=1)),'Model inputs'!B255))))="",FALSE,IF(IFERROR(IF(ISERROR('Model inputs'!Q75=1),'Model inputs'!Q75=1,IF('Model inputs'!Q75="","",'Model inputs'!Q75=1))=TRUE,FALSE),TRUE,IF(IFERROR('Model inputs'!B255=TRUE,FALSE),TRUE,IF(OR(IF(ISERROR('Model inputs'!Q75=1),'Model inputs'!Q75=1,IF('Model inputs'!Q75="","",'Model inputs'!Q75=1))="",'Model inputs'!B255=""),"",OR(IF(ISERROR('Model inputs'!Q75=1),'Model inputs'!Q75=1,IF('Model inputs'!Q75="","",'Model inputs'!Q75=1)),'Model inputs'!B255))))),1,0))</f>
        <v>#VALUE!</v>
      </c>
      <c r="S75" t="e" s="8">
        <f>IF(IF(IF(ISERROR('Model inputs'!S127&lt;'Model inputs'!O20),'Model inputs'!S127&lt;'Model inputs'!O20,IF(OR('Model inputs'!S127="",'Model inputs'!O20=""),"",'Model inputs'!S127&lt;'Model inputs'!O20))="",FALSE,IF(ISERROR('Model inputs'!S127&lt;'Model inputs'!O20),'Model inputs'!S127&lt;'Model inputs'!O20,IF(OR('Model inputs'!S127="",'Model inputs'!O20=""),"",'Model inputs'!S127&lt;'Model inputs'!O20))),0,IF(IF(IF(IFERROR(IF(ISERROR('Model inputs'!R75=1),'Model inputs'!R75=1,IF('Model inputs'!R75="","",'Model inputs'!R75=1))=TRUE,FALSE),TRUE,IF(IFERROR('Model inputs'!B256=TRUE,FALSE),TRUE,IF(OR(IF(ISERROR('Model inputs'!R75=1),'Model inputs'!R75=1,IF('Model inputs'!R75="","",'Model inputs'!R75=1))="",'Model inputs'!B256=""),"",OR(IF(ISERROR('Model inputs'!R75=1),'Model inputs'!R75=1,IF('Model inputs'!R75="","",'Model inputs'!R75=1)),'Model inputs'!B256))))="",FALSE,IF(IFERROR(IF(ISERROR('Model inputs'!R75=1),'Model inputs'!R75=1,IF('Model inputs'!R75="","",'Model inputs'!R75=1))=TRUE,FALSE),TRUE,IF(IFERROR('Model inputs'!B256=TRUE,FALSE),TRUE,IF(OR(IF(ISERROR('Model inputs'!R75=1),'Model inputs'!R75=1,IF('Model inputs'!R75="","",'Model inputs'!R75=1))="",'Model inputs'!B256=""),"",OR(IF(ISERROR('Model inputs'!R75=1),'Model inputs'!R75=1,IF('Model inputs'!R75="","",'Model inputs'!R75=1)),'Model inputs'!B256))))),1,0))</f>
        <v>#VALUE!</v>
      </c>
      <c r="T75" t="e" s="8">
        <f>IF(IF(IF(ISERROR('Model inputs'!T127&lt;'Model inputs'!O20),'Model inputs'!T127&lt;'Model inputs'!O20,IF(OR('Model inputs'!T127="",'Model inputs'!O20=""),"",'Model inputs'!T127&lt;'Model inputs'!O20))="",FALSE,IF(ISERROR('Model inputs'!T127&lt;'Model inputs'!O20),'Model inputs'!T127&lt;'Model inputs'!O20,IF(OR('Model inputs'!T127="",'Model inputs'!O20=""),"",'Model inputs'!T127&lt;'Model inputs'!O20))),0,IF(IF(IF(IFERROR(IF(ISERROR('Model inputs'!S75=1),'Model inputs'!S75=1,IF('Model inputs'!S75="","",'Model inputs'!S75=1))=TRUE,FALSE),TRUE,IF(IFERROR('Model inputs'!B257=TRUE,FALSE),TRUE,IF(OR(IF(ISERROR('Model inputs'!S75=1),'Model inputs'!S75=1,IF('Model inputs'!S75="","",'Model inputs'!S75=1))="",'Model inputs'!B257=""),"",OR(IF(ISERROR('Model inputs'!S75=1),'Model inputs'!S75=1,IF('Model inputs'!S75="","",'Model inputs'!S75=1)),'Model inputs'!B257))))="",FALSE,IF(IFERROR(IF(ISERROR('Model inputs'!S75=1),'Model inputs'!S75=1,IF('Model inputs'!S75="","",'Model inputs'!S75=1))=TRUE,FALSE),TRUE,IF(IFERROR('Model inputs'!B257=TRUE,FALSE),TRUE,IF(OR(IF(ISERROR('Model inputs'!S75=1),'Model inputs'!S75=1,IF('Model inputs'!S75="","",'Model inputs'!S75=1))="",'Model inputs'!B257=""),"",OR(IF(ISERROR('Model inputs'!S75=1),'Model inputs'!S75=1,IF('Model inputs'!S75="","",'Model inputs'!S75=1)),'Model inputs'!B257))))),1,0))</f>
        <v>#VALUE!</v>
      </c>
      <c r="U75" t="e" s="8">
        <f>IF(IF(IF(ISERROR('Model inputs'!U127&lt;'Model inputs'!O20),'Model inputs'!U127&lt;'Model inputs'!O20,IF(OR('Model inputs'!U127="",'Model inputs'!O20=""),"",'Model inputs'!U127&lt;'Model inputs'!O20))="",FALSE,IF(ISERROR('Model inputs'!U127&lt;'Model inputs'!O20),'Model inputs'!U127&lt;'Model inputs'!O20,IF(OR('Model inputs'!U127="",'Model inputs'!O20=""),"",'Model inputs'!U127&lt;'Model inputs'!O20))),0,IF(IF(IF(IFERROR(IF(ISERROR('Model inputs'!T75=1),'Model inputs'!T75=1,IF('Model inputs'!T75="","",'Model inputs'!T75=1))=TRUE,FALSE),TRUE,IF(IFERROR('Model inputs'!B258=TRUE,FALSE),TRUE,IF(OR(IF(ISERROR('Model inputs'!T75=1),'Model inputs'!T75=1,IF('Model inputs'!T75="","",'Model inputs'!T75=1))="",'Model inputs'!B258=""),"",OR(IF(ISERROR('Model inputs'!T75=1),'Model inputs'!T75=1,IF('Model inputs'!T75="","",'Model inputs'!T75=1)),'Model inputs'!B258))))="",FALSE,IF(IFERROR(IF(ISERROR('Model inputs'!T75=1),'Model inputs'!T75=1,IF('Model inputs'!T75="","",'Model inputs'!T75=1))=TRUE,FALSE),TRUE,IF(IFERROR('Model inputs'!B258=TRUE,FALSE),TRUE,IF(OR(IF(ISERROR('Model inputs'!T75=1),'Model inputs'!T75=1,IF('Model inputs'!T75="","",'Model inputs'!T75=1))="",'Model inputs'!B258=""),"",OR(IF(ISERROR('Model inputs'!T75=1),'Model inputs'!T75=1,IF('Model inputs'!T75="","",'Model inputs'!T75=1)),'Model inputs'!B258))))),1,0))</f>
        <v>#VALUE!</v>
      </c>
      <c r="V75" t="e" s="8">
        <f>IF(IF(IF(ISERROR('Model inputs'!V127&lt;'Model inputs'!O20),'Model inputs'!V127&lt;'Model inputs'!O20,IF(OR('Model inputs'!V127="",'Model inputs'!O20=""),"",'Model inputs'!V127&lt;'Model inputs'!O20))="",FALSE,IF(ISERROR('Model inputs'!V127&lt;'Model inputs'!O20),'Model inputs'!V127&lt;'Model inputs'!O20,IF(OR('Model inputs'!V127="",'Model inputs'!O20=""),"",'Model inputs'!V127&lt;'Model inputs'!O20))),0,IF(IF(IF(IFERROR(IF(ISERROR('Model inputs'!U75=1),'Model inputs'!U75=1,IF('Model inputs'!U75="","",'Model inputs'!U75=1))=TRUE,FALSE),TRUE,IF(IFERROR('Model inputs'!B259=TRUE,FALSE),TRUE,IF(OR(IF(ISERROR('Model inputs'!U75=1),'Model inputs'!U75=1,IF('Model inputs'!U75="","",'Model inputs'!U75=1))="",'Model inputs'!B259=""),"",OR(IF(ISERROR('Model inputs'!U75=1),'Model inputs'!U75=1,IF('Model inputs'!U75="","",'Model inputs'!U75=1)),'Model inputs'!B259))))="",FALSE,IF(IFERROR(IF(ISERROR('Model inputs'!U75=1),'Model inputs'!U75=1,IF('Model inputs'!U75="","",'Model inputs'!U75=1))=TRUE,FALSE),TRUE,IF(IFERROR('Model inputs'!B259=TRUE,FALSE),TRUE,IF(OR(IF(ISERROR('Model inputs'!U75=1),'Model inputs'!U75=1,IF('Model inputs'!U75="","",'Model inputs'!U75=1))="",'Model inputs'!B259=""),"",OR(IF(ISERROR('Model inputs'!U75=1),'Model inputs'!U75=1,IF('Model inputs'!U75="","",'Model inputs'!U75=1)),'Model inputs'!B259))))),1,0))</f>
        <v>#VALUE!</v>
      </c>
      <c r="W75" t="e" s="8">
        <f>IF(IF(IF(ISERROR('Model inputs'!W127&lt;'Model inputs'!O20),'Model inputs'!W127&lt;'Model inputs'!O20,IF(OR('Model inputs'!W127="",'Model inputs'!O20=""),"",'Model inputs'!W127&lt;'Model inputs'!O20))="",FALSE,IF(ISERROR('Model inputs'!W127&lt;'Model inputs'!O20),'Model inputs'!W127&lt;'Model inputs'!O20,IF(OR('Model inputs'!W127="",'Model inputs'!O20=""),"",'Model inputs'!W127&lt;'Model inputs'!O20))),0,IF(IF(IF(IFERROR(IF(ISERROR('Model inputs'!V75=1),'Model inputs'!V75=1,IF('Model inputs'!V75="","",'Model inputs'!V75=1))=TRUE,FALSE),TRUE,IF(IFERROR('Model inputs'!B260=TRUE,FALSE),TRUE,IF(OR(IF(ISERROR('Model inputs'!V75=1),'Model inputs'!V75=1,IF('Model inputs'!V75="","",'Model inputs'!V75=1))="",'Model inputs'!B260=""),"",OR(IF(ISERROR('Model inputs'!V75=1),'Model inputs'!V75=1,IF('Model inputs'!V75="","",'Model inputs'!V75=1)),'Model inputs'!B260))))="",FALSE,IF(IFERROR(IF(ISERROR('Model inputs'!V75=1),'Model inputs'!V75=1,IF('Model inputs'!V75="","",'Model inputs'!V75=1))=TRUE,FALSE),TRUE,IF(IFERROR('Model inputs'!B260=TRUE,FALSE),TRUE,IF(OR(IF(ISERROR('Model inputs'!V75=1),'Model inputs'!V75=1,IF('Model inputs'!V75="","",'Model inputs'!V75=1))="",'Model inputs'!B260=""),"",OR(IF(ISERROR('Model inputs'!V75=1),'Model inputs'!V75=1,IF('Model inputs'!V75="","",'Model inputs'!V75=1)),'Model inputs'!B260))))),1,0))</f>
        <v>#VALUE!</v>
      </c>
    </row>
    <row r="76">
      <c r="A76" t="inlineStr" s="19">
        <is>
          <t xml:space="preserve">Extra fix price · Extra fix revenue · Upside · Upside</t>
        </is>
      </c>
      <c r="O76" s="8">
        <f>'Pricing and operating assumptio'!B7</f>
        <v>29</v>
      </c>
    </row>
    <row r="77">
      <c r="A77" t="inlineStr" s="19">
        <is>
          <t xml:space="preserve">Extra fix price · Extra fix revenue · Downside · Downside</t>
        </is>
      </c>
      <c r="O77" s="8">
        <f>'Pricing and operating assumptio'!B7</f>
        <v>29</v>
      </c>
    </row>
    <row r="78">
      <c r="A78" t="inlineStr" s="19">
        <is>
          <t xml:space="preserve">Extra successful fixes · Extra fix revenue · Upside · Upside</t>
        </is>
      </c>
      <c r="B78" s="20">
        <f>'Model inputs'!B96*'Model inputs'!B106</f>
        <v>0</v>
      </c>
      <c r="C78" s="20">
        <f>'Model inputs'!C96*'Model inputs'!C106</f>
        <v>0</v>
      </c>
      <c r="D78" s="20">
        <f>'Model inputs'!D96*'Model inputs'!D106</f>
        <v>0</v>
      </c>
      <c r="E78" s="20">
        <f>'Model inputs'!E96*'Model inputs'!E106</f>
        <v>0</v>
      </c>
      <c r="F78" s="20">
        <f>'Model inputs'!F96*'Model inputs'!F106</f>
        <v>0</v>
      </c>
      <c r="G78" s="20">
        <f>'Model inputs'!G96*'Model inputs'!G106</f>
        <v>0</v>
      </c>
      <c r="H78" s="20">
        <f>'Model inputs'!H96*'Model inputs'!H106</f>
        <v>0</v>
      </c>
      <c r="I78" s="20">
        <f>'Model inputs'!I96*'Model inputs'!I106</f>
        <v>0</v>
      </c>
      <c r="J78" s="20">
        <f>'Model inputs'!J96*'Model inputs'!J106</f>
        <v>0</v>
      </c>
      <c r="K78" s="20">
        <f>'Model inputs'!K96*'Model inputs'!K106</f>
        <v>0</v>
      </c>
      <c r="L78" s="20">
        <f>'Model inputs'!L96*'Model inputs'!L106</f>
        <v>0</v>
      </c>
      <c r="M78" s="20">
        <f>'Model inputs'!M96*'Model inputs'!M106</f>
        <v>0</v>
      </c>
      <c r="N78" s="20">
        <f>'Model inputs'!N96*'Model inputs'!N106</f>
        <v>0</v>
      </c>
      <c r="P78" s="20">
        <f>'Model inputs'!P123*'Model inputs'!P106</f>
        <v>0</v>
      </c>
      <c r="Q78" s="20">
        <f>'Model inputs'!Q123*'Model inputs'!Q106</f>
        <v>0</v>
      </c>
      <c r="R78" s="20">
        <f>'Model inputs'!R123*'Model inputs'!R106</f>
        <v>0</v>
      </c>
      <c r="S78" s="20">
        <f>'Model inputs'!S123*'Model inputs'!S106</f>
        <v>0</v>
      </c>
      <c r="T78" s="20">
        <f>'Model inputs'!T123*'Model inputs'!T106</f>
        <v>0</v>
      </c>
      <c r="U78" s="20">
        <f>'Model inputs'!U123*'Model inputs'!U106</f>
        <v>0</v>
      </c>
      <c r="V78" s="20">
        <f>'Model inputs'!V123*'Model inputs'!V106</f>
        <v>0</v>
      </c>
      <c r="W78" s="20">
        <f>'Model inputs'!W123*'Model inputs'!W106</f>
        <v>0</v>
      </c>
    </row>
    <row r="79">
      <c r="A79" t="inlineStr" s="19">
        <is>
          <t xml:space="preserve">Extra successful fixes · Extra fix revenue · Downside · Downside</t>
        </is>
      </c>
      <c r="B79" s="20">
        <f>'Model inputs'!B97*'Model inputs'!B107</f>
        <v>0</v>
      </c>
      <c r="C79" s="20">
        <f>'Model inputs'!C97*'Model inputs'!C107</f>
        <v>0</v>
      </c>
      <c r="D79" s="20">
        <f>'Model inputs'!D97*'Model inputs'!D107</f>
        <v>0</v>
      </c>
      <c r="E79" s="20">
        <f>'Model inputs'!E97*'Model inputs'!E107</f>
        <v>0</v>
      </c>
      <c r="F79" s="20">
        <f>'Model inputs'!F97*'Model inputs'!F107</f>
        <v>0</v>
      </c>
      <c r="G79" s="20">
        <f>'Model inputs'!G97*'Model inputs'!G107</f>
        <v>0</v>
      </c>
      <c r="H79" s="20">
        <f>'Model inputs'!H97*'Model inputs'!H107</f>
        <v>0</v>
      </c>
      <c r="I79" s="20">
        <f>'Model inputs'!I97*'Model inputs'!I107</f>
        <v>0</v>
      </c>
      <c r="J79" s="20">
        <f>'Model inputs'!J97*'Model inputs'!J107</f>
        <v>0</v>
      </c>
      <c r="K79" s="20">
        <f>'Model inputs'!K97*'Model inputs'!K107</f>
        <v>0</v>
      </c>
      <c r="L79" s="20">
        <f>'Model inputs'!L97*'Model inputs'!L107</f>
        <v>0</v>
      </c>
      <c r="M79" s="20">
        <f>'Model inputs'!M97*'Model inputs'!M107</f>
        <v>0</v>
      </c>
      <c r="N79" s="20">
        <f>'Model inputs'!N97*'Model inputs'!N107</f>
        <v>0</v>
      </c>
      <c r="P79" s="20">
        <f>'Model inputs'!P124*'Model inputs'!P107</f>
        <v>0</v>
      </c>
      <c r="Q79" s="20">
        <f>'Model inputs'!Q124*'Model inputs'!Q107</f>
        <v>0</v>
      </c>
      <c r="R79" s="20">
        <f>'Model inputs'!R124*'Model inputs'!R107</f>
        <v>0</v>
      </c>
      <c r="S79" s="20">
        <f>'Model inputs'!S124*'Model inputs'!S107</f>
        <v>0</v>
      </c>
      <c r="T79" s="20">
        <f>'Model inputs'!T124*'Model inputs'!T107</f>
        <v>0</v>
      </c>
      <c r="U79" s="20">
        <f>'Model inputs'!U124*'Model inputs'!U107</f>
        <v>0</v>
      </c>
      <c r="V79" s="20">
        <f>'Model inputs'!V124*'Model inputs'!V107</f>
        <v>0</v>
      </c>
      <c r="W79" s="20">
        <f>'Model inputs'!W124*'Model inputs'!W107</f>
        <v>0</v>
      </c>
    </row>
    <row r="80">
      <c r="A80" t="inlineStr" s="19">
        <is>
          <t xml:space="preserve">Fixed overhead · Scenario comparison · Upside</t>
        </is>
      </c>
      <c r="B80" s="20">
        <f>'Model inputs'!O114+'Model inputs'!O116</f>
        <v>150</v>
      </c>
      <c r="C80" s="20">
        <f>'Model inputs'!O114+'Model inputs'!O116</f>
        <v>150</v>
      </c>
      <c r="D80" s="20">
        <f>'Model inputs'!O114+'Model inputs'!O116</f>
        <v>150</v>
      </c>
      <c r="E80" s="20">
        <f>'Model inputs'!O114+'Model inputs'!O116</f>
        <v>150</v>
      </c>
      <c r="F80" s="20">
        <f>'Model inputs'!O114+'Model inputs'!O116</f>
        <v>150</v>
      </c>
      <c r="G80" s="20">
        <f>'Model inputs'!O114+'Model inputs'!O116</f>
        <v>150</v>
      </c>
      <c r="H80" s="20">
        <f>'Model inputs'!O114+'Model inputs'!O116</f>
        <v>150</v>
      </c>
      <c r="I80" s="20">
        <f>'Model inputs'!O114+'Model inputs'!O116</f>
        <v>150</v>
      </c>
      <c r="J80" s="20">
        <f>'Model inputs'!O114+'Model inputs'!O116</f>
        <v>150</v>
      </c>
      <c r="K80" s="20">
        <f>'Model inputs'!O114+'Model inputs'!O116</f>
        <v>150</v>
      </c>
      <c r="L80" s="20">
        <f>'Model inputs'!O114+'Model inputs'!O116</f>
        <v>150</v>
      </c>
      <c r="M80" s="20">
        <f>'Model inputs'!O114+'Model inputs'!O116</f>
        <v>150</v>
      </c>
      <c r="N80" s="20">
        <f>'Model inputs'!O114+'Model inputs'!O116</f>
        <v>150</v>
      </c>
      <c r="P80" s="20">
        <f>'Model inputs'!O114+'Model inputs'!O116</f>
        <v>150</v>
      </c>
      <c r="Q80" s="20">
        <f>'Model inputs'!O114+'Model inputs'!O116</f>
        <v>150</v>
      </c>
      <c r="R80" s="20">
        <f>'Model inputs'!O114+'Model inputs'!O116</f>
        <v>150</v>
      </c>
      <c r="S80" s="20">
        <f>'Model inputs'!O114+'Model inputs'!O116</f>
        <v>150</v>
      </c>
      <c r="T80" s="20">
        <f>'Model inputs'!O114+'Model inputs'!O116</f>
        <v>150</v>
      </c>
      <c r="U80" s="20">
        <f>'Model inputs'!O114+'Model inputs'!O116</f>
        <v>150</v>
      </c>
      <c r="V80" s="20">
        <f>'Model inputs'!O114+'Model inputs'!O116</f>
        <v>150</v>
      </c>
      <c r="W80" s="20">
        <f>'Model inputs'!O114+'Model inputs'!O116</f>
        <v>150</v>
      </c>
    </row>
    <row r="81">
      <c r="A81" t="inlineStr" s="19">
        <is>
          <t xml:space="preserve">Fixed overhead · Scenario comparison · Downside</t>
        </is>
      </c>
      <c r="B81" s="20">
        <f>'Model inputs'!O115+'Model inputs'!O117</f>
        <v>150</v>
      </c>
      <c r="C81" s="20">
        <f>'Model inputs'!O115+'Model inputs'!O117</f>
        <v>150</v>
      </c>
      <c r="D81" s="20">
        <f>'Model inputs'!O115+'Model inputs'!O117</f>
        <v>150</v>
      </c>
      <c r="E81" s="20">
        <f>'Model inputs'!O115+'Model inputs'!O117</f>
        <v>150</v>
      </c>
      <c r="F81" s="20">
        <f>'Model inputs'!O115+'Model inputs'!O117</f>
        <v>150</v>
      </c>
      <c r="G81" s="20">
        <f>'Model inputs'!O115+'Model inputs'!O117</f>
        <v>150</v>
      </c>
      <c r="H81" s="20">
        <f>'Model inputs'!O115+'Model inputs'!O117</f>
        <v>150</v>
      </c>
      <c r="I81" s="20">
        <f>'Model inputs'!O115+'Model inputs'!O117</f>
        <v>150</v>
      </c>
      <c r="J81" s="20">
        <f>'Model inputs'!O115+'Model inputs'!O117</f>
        <v>150</v>
      </c>
      <c r="K81" s="20">
        <f>'Model inputs'!O115+'Model inputs'!O117</f>
        <v>150</v>
      </c>
      <c r="L81" s="20">
        <f>'Model inputs'!O115+'Model inputs'!O117</f>
        <v>150</v>
      </c>
      <c r="M81" s="20">
        <f>'Model inputs'!O115+'Model inputs'!O117</f>
        <v>150</v>
      </c>
      <c r="N81" s="20">
        <f>'Model inputs'!O115+'Model inputs'!O117</f>
        <v>150</v>
      </c>
      <c r="P81" s="20">
        <f>'Model inputs'!O115+'Model inputs'!O117</f>
        <v>150</v>
      </c>
      <c r="Q81" s="20">
        <f>'Model inputs'!O115+'Model inputs'!O117</f>
        <v>150</v>
      </c>
      <c r="R81" s="20">
        <f>'Model inputs'!O115+'Model inputs'!O117</f>
        <v>150</v>
      </c>
      <c r="S81" s="20">
        <f>'Model inputs'!O115+'Model inputs'!O117</f>
        <v>150</v>
      </c>
      <c r="T81" s="20">
        <f>'Model inputs'!O115+'Model inputs'!O117</f>
        <v>150</v>
      </c>
      <c r="U81" s="20">
        <f>'Model inputs'!O115+'Model inputs'!O117</f>
        <v>150</v>
      </c>
      <c r="V81" s="20">
        <f>'Model inputs'!O115+'Model inputs'!O117</f>
        <v>150</v>
      </c>
      <c r="W81" s="20">
        <f>'Model inputs'!O115+'Model inputs'!O117</f>
        <v>150</v>
      </c>
    </row>
    <row r="82">
      <c r="A82" t="inlineStr" s="19">
        <is>
          <t xml:space="preserve">Founder pay · Scenario comparison · Upside</t>
        </is>
      </c>
      <c r="B82" t="e" s="20">
        <f>IF(IF(IF(ISERROR('Model inputs'!B60&gt;='Model inputs'!O110),'Model inputs'!B60&gt;='Model inputs'!O110,IF(OR('Model inputs'!B60="",'Model inputs'!O110=""),"",'Model inputs'!B60&gt;='Model inputs'!O110))="",FALSE,IF(ISERROR('Model inputs'!B60&gt;='Model inputs'!O110),'Model inputs'!B60&gt;='Model inputs'!O110,IF(OR('Model inputs'!B60="",'Model inputs'!O110=""),"",'Model inputs'!B60&gt;='Model inputs'!O110))),IF('Model inputs'!O108="","",'Model inputs'!O108),0)</f>
        <v>#VALUE!</v>
      </c>
      <c r="C82" s="20">
        <f>IF(IF(IF(ISERROR('Model inputs'!C60&gt;='Model inputs'!O110),'Model inputs'!C60&gt;='Model inputs'!O110,IF(OR('Model inputs'!C60="",'Model inputs'!O110=""),"",'Model inputs'!C60&gt;='Model inputs'!O110))="",FALSE,IF(ISERROR('Model inputs'!C60&gt;='Model inputs'!O110),'Model inputs'!C60&gt;='Model inputs'!O110,IF(OR('Model inputs'!C60="",'Model inputs'!O110=""),"",'Model inputs'!C60&gt;='Model inputs'!O110))),IF('Model inputs'!O108="","",'Model inputs'!O108),0)</f>
        <v>0</v>
      </c>
      <c r="D82" s="20">
        <f>IF(IF(IF(ISERROR('Model inputs'!D60&gt;='Model inputs'!O110),'Model inputs'!D60&gt;='Model inputs'!O110,IF(OR('Model inputs'!D60="",'Model inputs'!O110=""),"",'Model inputs'!D60&gt;='Model inputs'!O110))="",FALSE,IF(ISERROR('Model inputs'!D60&gt;='Model inputs'!O110),'Model inputs'!D60&gt;='Model inputs'!O110,IF(OR('Model inputs'!D60="",'Model inputs'!O110=""),"",'Model inputs'!D60&gt;='Model inputs'!O110))),IF('Model inputs'!O108="","",'Model inputs'!O108),0)</f>
        <v>0</v>
      </c>
      <c r="E82" s="20">
        <f>IF(IF(IF(ISERROR('Model inputs'!E60&gt;='Model inputs'!O110),'Model inputs'!E60&gt;='Model inputs'!O110,IF(OR('Model inputs'!E60="",'Model inputs'!O110=""),"",'Model inputs'!E60&gt;='Model inputs'!O110))="",FALSE,IF(ISERROR('Model inputs'!E60&gt;='Model inputs'!O110),'Model inputs'!E60&gt;='Model inputs'!O110,IF(OR('Model inputs'!E60="",'Model inputs'!O110=""),"",'Model inputs'!E60&gt;='Model inputs'!O110))),IF('Model inputs'!O108="","",'Model inputs'!O108),0)</f>
        <v>0</v>
      </c>
      <c r="F82" s="20">
        <f>IF(IF(IF(ISERROR('Model inputs'!F60&gt;='Model inputs'!O110),'Model inputs'!F60&gt;='Model inputs'!O110,IF(OR('Model inputs'!F60="",'Model inputs'!O110=""),"",'Model inputs'!F60&gt;='Model inputs'!O110))="",FALSE,IF(ISERROR('Model inputs'!F60&gt;='Model inputs'!O110),'Model inputs'!F60&gt;='Model inputs'!O110,IF(OR('Model inputs'!F60="",'Model inputs'!O110=""),"",'Model inputs'!F60&gt;='Model inputs'!O110))),IF('Model inputs'!O108="","",'Model inputs'!O108),0)</f>
        <v>0</v>
      </c>
      <c r="G82" s="20">
        <f>IF(IF(IF(ISERROR('Model inputs'!G60&gt;='Model inputs'!O110),'Model inputs'!G60&gt;='Model inputs'!O110,IF(OR('Model inputs'!G60="",'Model inputs'!O110=""),"",'Model inputs'!G60&gt;='Model inputs'!O110))="",FALSE,IF(ISERROR('Model inputs'!G60&gt;='Model inputs'!O110),'Model inputs'!G60&gt;='Model inputs'!O110,IF(OR('Model inputs'!G60="",'Model inputs'!O110=""),"",'Model inputs'!G60&gt;='Model inputs'!O110))),IF('Model inputs'!O108="","",'Model inputs'!O108),0)</f>
        <v>0</v>
      </c>
      <c r="H82" s="20">
        <f>IF(IF(IF(ISERROR('Model inputs'!H60&gt;='Model inputs'!O110),'Model inputs'!H60&gt;='Model inputs'!O110,IF(OR('Model inputs'!H60="",'Model inputs'!O110=""),"",'Model inputs'!H60&gt;='Model inputs'!O110))="",FALSE,IF(ISERROR('Model inputs'!H60&gt;='Model inputs'!O110),'Model inputs'!H60&gt;='Model inputs'!O110,IF(OR('Model inputs'!H60="",'Model inputs'!O110=""),"",'Model inputs'!H60&gt;='Model inputs'!O110))),IF('Model inputs'!O108="","",'Model inputs'!O108),0)</f>
        <v>0</v>
      </c>
      <c r="I82" s="20">
        <f>IF(IF(IF(ISERROR('Model inputs'!I60&gt;='Model inputs'!O110),'Model inputs'!I60&gt;='Model inputs'!O110,IF(OR('Model inputs'!I60="",'Model inputs'!O110=""),"",'Model inputs'!I60&gt;='Model inputs'!O110))="",FALSE,IF(ISERROR('Model inputs'!I60&gt;='Model inputs'!O110),'Model inputs'!I60&gt;='Model inputs'!O110,IF(OR('Model inputs'!I60="",'Model inputs'!O110=""),"",'Model inputs'!I60&gt;='Model inputs'!O110))),IF('Model inputs'!O108="","",'Model inputs'!O108),0)</f>
        <v>4000</v>
      </c>
      <c r="J82" s="20">
        <f>IF(IF(IF(ISERROR('Model inputs'!J60&gt;='Model inputs'!O110),'Model inputs'!J60&gt;='Model inputs'!O110,IF(OR('Model inputs'!J60="",'Model inputs'!O110=""),"",'Model inputs'!J60&gt;='Model inputs'!O110))="",FALSE,IF(ISERROR('Model inputs'!J60&gt;='Model inputs'!O110),'Model inputs'!J60&gt;='Model inputs'!O110,IF(OR('Model inputs'!J60="",'Model inputs'!O110=""),"",'Model inputs'!J60&gt;='Model inputs'!O110))),IF('Model inputs'!O108="","",'Model inputs'!O108),0)</f>
        <v>4000</v>
      </c>
      <c r="K82" s="20">
        <f>IF(IF(IF(ISERROR('Model inputs'!K60&gt;='Model inputs'!O110),'Model inputs'!K60&gt;='Model inputs'!O110,IF(OR('Model inputs'!K60="",'Model inputs'!O110=""),"",'Model inputs'!K60&gt;='Model inputs'!O110))="",FALSE,IF(ISERROR('Model inputs'!K60&gt;='Model inputs'!O110),'Model inputs'!K60&gt;='Model inputs'!O110,IF(OR('Model inputs'!K60="",'Model inputs'!O110=""),"",'Model inputs'!K60&gt;='Model inputs'!O110))),IF('Model inputs'!O108="","",'Model inputs'!O108),0)</f>
        <v>4000</v>
      </c>
      <c r="L82" s="20">
        <f>IF(IF(IF(ISERROR('Model inputs'!L60&gt;='Model inputs'!O110),'Model inputs'!L60&gt;='Model inputs'!O110,IF(OR('Model inputs'!L60="",'Model inputs'!O110=""),"",'Model inputs'!L60&gt;='Model inputs'!O110))="",FALSE,IF(ISERROR('Model inputs'!L60&gt;='Model inputs'!O110),'Model inputs'!L60&gt;='Model inputs'!O110,IF(OR('Model inputs'!L60="",'Model inputs'!O110=""),"",'Model inputs'!L60&gt;='Model inputs'!O110))),IF('Model inputs'!O108="","",'Model inputs'!O108),0)</f>
        <v>4000</v>
      </c>
      <c r="M82" s="20">
        <f>IF(IF(IF(ISERROR('Model inputs'!M60&gt;='Model inputs'!O110),'Model inputs'!M60&gt;='Model inputs'!O110,IF(OR('Model inputs'!M60="",'Model inputs'!O110=""),"",'Model inputs'!M60&gt;='Model inputs'!O110))="",FALSE,IF(ISERROR('Model inputs'!M60&gt;='Model inputs'!O110),'Model inputs'!M60&gt;='Model inputs'!O110,IF(OR('Model inputs'!M60="",'Model inputs'!O110=""),"",'Model inputs'!M60&gt;='Model inputs'!O110))),IF('Model inputs'!O108="","",'Model inputs'!O108),0)</f>
        <v>4000</v>
      </c>
      <c r="N82" s="20">
        <f>IF(IF(IF(ISERROR('Model inputs'!N60&gt;='Model inputs'!O110),'Model inputs'!N60&gt;='Model inputs'!O110,IF(OR('Model inputs'!N60="",'Model inputs'!O110=""),"",'Model inputs'!N60&gt;='Model inputs'!O110))="",FALSE,IF(ISERROR('Model inputs'!N60&gt;='Model inputs'!O110),'Model inputs'!N60&gt;='Model inputs'!O110,IF(OR('Model inputs'!N60="",'Model inputs'!O110=""),"",'Model inputs'!N60&gt;='Model inputs'!O110))),IF('Model inputs'!O108="","",'Model inputs'!O108),0)</f>
        <v>4000</v>
      </c>
      <c r="P82" t="e" s="20">
        <f>IF(IF(IF(ISERROR('Model inputs'!P126&gt;='Model inputs'!O110),'Model inputs'!P126&gt;='Model inputs'!O110,IF(OR('Model inputs'!P126="",'Model inputs'!O110=""),"",'Model inputs'!P126&gt;='Model inputs'!O110))="",FALSE,IF(ISERROR('Model inputs'!P126&gt;='Model inputs'!O110),'Model inputs'!P126&gt;='Model inputs'!O110,IF(OR('Model inputs'!P126="",'Model inputs'!O110=""),"",'Model inputs'!P126&gt;='Model inputs'!O110))),IF('Model inputs'!O108="","",'Model inputs'!O108),0)</f>
        <v>#VALUE!</v>
      </c>
      <c r="Q82" t="e" s="20">
        <f>IF(IF(IF(ISERROR('Model inputs'!Q126&gt;='Model inputs'!O110),'Model inputs'!Q126&gt;='Model inputs'!O110,IF(OR('Model inputs'!Q126="",'Model inputs'!O110=""),"",'Model inputs'!Q126&gt;='Model inputs'!O110))="",FALSE,IF(ISERROR('Model inputs'!Q126&gt;='Model inputs'!O110),'Model inputs'!Q126&gt;='Model inputs'!O110,IF(OR('Model inputs'!Q126="",'Model inputs'!O110=""),"",'Model inputs'!Q126&gt;='Model inputs'!O110))),IF('Model inputs'!O108="","",'Model inputs'!O108),0)</f>
        <v>#VALUE!</v>
      </c>
      <c r="R82" t="e" s="20">
        <f>IF(IF(IF(ISERROR('Model inputs'!R126&gt;='Model inputs'!O110),'Model inputs'!R126&gt;='Model inputs'!O110,IF(OR('Model inputs'!R126="",'Model inputs'!O110=""),"",'Model inputs'!R126&gt;='Model inputs'!O110))="",FALSE,IF(ISERROR('Model inputs'!R126&gt;='Model inputs'!O110),'Model inputs'!R126&gt;='Model inputs'!O110,IF(OR('Model inputs'!R126="",'Model inputs'!O110=""),"",'Model inputs'!R126&gt;='Model inputs'!O110))),IF('Model inputs'!O108="","",'Model inputs'!O108),0)</f>
        <v>#VALUE!</v>
      </c>
      <c r="S82" t="e" s="20">
        <f>IF(IF(IF(ISERROR('Model inputs'!S126&gt;='Model inputs'!O110),'Model inputs'!S126&gt;='Model inputs'!O110,IF(OR('Model inputs'!S126="",'Model inputs'!O110=""),"",'Model inputs'!S126&gt;='Model inputs'!O110))="",FALSE,IF(ISERROR('Model inputs'!S126&gt;='Model inputs'!O110),'Model inputs'!S126&gt;='Model inputs'!O110,IF(OR('Model inputs'!S126="",'Model inputs'!O110=""),"",'Model inputs'!S126&gt;='Model inputs'!O110))),IF('Model inputs'!O108="","",'Model inputs'!O108),0)</f>
        <v>#VALUE!</v>
      </c>
      <c r="T82" t="e" s="20">
        <f>IF(IF(IF(ISERROR('Model inputs'!T126&gt;='Model inputs'!O110),'Model inputs'!T126&gt;='Model inputs'!O110,IF(OR('Model inputs'!T126="",'Model inputs'!O110=""),"",'Model inputs'!T126&gt;='Model inputs'!O110))="",FALSE,IF(ISERROR('Model inputs'!T126&gt;='Model inputs'!O110),'Model inputs'!T126&gt;='Model inputs'!O110,IF(OR('Model inputs'!T126="",'Model inputs'!O110=""),"",'Model inputs'!T126&gt;='Model inputs'!O110))),IF('Model inputs'!O108="","",'Model inputs'!O108),0)</f>
        <v>#VALUE!</v>
      </c>
      <c r="U82" t="e" s="20">
        <f>IF(IF(IF(ISERROR('Model inputs'!U126&gt;='Model inputs'!O110),'Model inputs'!U126&gt;='Model inputs'!O110,IF(OR('Model inputs'!U126="",'Model inputs'!O110=""),"",'Model inputs'!U126&gt;='Model inputs'!O110))="",FALSE,IF(ISERROR('Model inputs'!U126&gt;='Model inputs'!O110),'Model inputs'!U126&gt;='Model inputs'!O110,IF(OR('Model inputs'!U126="",'Model inputs'!O110=""),"",'Model inputs'!U126&gt;='Model inputs'!O110))),IF('Model inputs'!O108="","",'Model inputs'!O108),0)</f>
        <v>#VALUE!</v>
      </c>
      <c r="V82" t="e" s="20">
        <f>IF(IF(IF(ISERROR('Model inputs'!V126&gt;='Model inputs'!O110),'Model inputs'!V126&gt;='Model inputs'!O110,IF(OR('Model inputs'!V126="",'Model inputs'!O110=""),"",'Model inputs'!V126&gt;='Model inputs'!O110))="",FALSE,IF(ISERROR('Model inputs'!V126&gt;='Model inputs'!O110),'Model inputs'!V126&gt;='Model inputs'!O110,IF(OR('Model inputs'!V126="",'Model inputs'!O110=""),"",'Model inputs'!V126&gt;='Model inputs'!O110))),IF('Model inputs'!O108="","",'Model inputs'!O108),0)</f>
        <v>#VALUE!</v>
      </c>
      <c r="W82" t="e" s="20">
        <f>IF(IF(IF(ISERROR('Model inputs'!W126&gt;='Model inputs'!O110),'Model inputs'!W126&gt;='Model inputs'!O110,IF(OR('Model inputs'!W126="",'Model inputs'!O110=""),"",'Model inputs'!W126&gt;='Model inputs'!O110))="",FALSE,IF(ISERROR('Model inputs'!W126&gt;='Model inputs'!O110),'Model inputs'!W126&gt;='Model inputs'!O110,IF(OR('Model inputs'!W126="",'Model inputs'!O110=""),"",'Model inputs'!W126&gt;='Model inputs'!O110))),IF('Model inputs'!O108="","",'Model inputs'!O108),0)</f>
        <v>#VALUE!</v>
      </c>
    </row>
    <row r="83">
      <c r="A83" t="inlineStr" s="19">
        <is>
          <t xml:space="preserve">Founder pay · Scenario comparison · Downside</t>
        </is>
      </c>
      <c r="B83" t="e" s="20">
        <f>IF(IF(IF(ISERROR('Model inputs'!B61&gt;='Model inputs'!O111),'Model inputs'!B61&gt;='Model inputs'!O111,IF(OR('Model inputs'!B61="",'Model inputs'!O111=""),"",'Model inputs'!B61&gt;='Model inputs'!O111))="",FALSE,IF(ISERROR('Model inputs'!B61&gt;='Model inputs'!O111),'Model inputs'!B61&gt;='Model inputs'!O111,IF(OR('Model inputs'!B61="",'Model inputs'!O111=""),"",'Model inputs'!B61&gt;='Model inputs'!O111))),IF('Model inputs'!O109="","",'Model inputs'!O109),0)</f>
        <v>#VALUE!</v>
      </c>
      <c r="C83" s="20">
        <f>IF(IF(IF(ISERROR('Model inputs'!C61&gt;='Model inputs'!O111),'Model inputs'!C61&gt;='Model inputs'!O111,IF(OR('Model inputs'!C61="",'Model inputs'!O111=""),"",'Model inputs'!C61&gt;='Model inputs'!O111))="",FALSE,IF(ISERROR('Model inputs'!C61&gt;='Model inputs'!O111),'Model inputs'!C61&gt;='Model inputs'!O111,IF(OR('Model inputs'!C61="",'Model inputs'!O111=""),"",'Model inputs'!C61&gt;='Model inputs'!O111))),IF('Model inputs'!O109="","",'Model inputs'!O109),0)</f>
        <v>0</v>
      </c>
      <c r="D83" s="20">
        <f>IF(IF(IF(ISERROR('Model inputs'!D61&gt;='Model inputs'!O111),'Model inputs'!D61&gt;='Model inputs'!O111,IF(OR('Model inputs'!D61="",'Model inputs'!O111=""),"",'Model inputs'!D61&gt;='Model inputs'!O111))="",FALSE,IF(ISERROR('Model inputs'!D61&gt;='Model inputs'!O111),'Model inputs'!D61&gt;='Model inputs'!O111,IF(OR('Model inputs'!D61="",'Model inputs'!O111=""),"",'Model inputs'!D61&gt;='Model inputs'!O111))),IF('Model inputs'!O109="","",'Model inputs'!O109),0)</f>
        <v>0</v>
      </c>
      <c r="E83" s="20">
        <f>IF(IF(IF(ISERROR('Model inputs'!E61&gt;='Model inputs'!O111),'Model inputs'!E61&gt;='Model inputs'!O111,IF(OR('Model inputs'!E61="",'Model inputs'!O111=""),"",'Model inputs'!E61&gt;='Model inputs'!O111))="",FALSE,IF(ISERROR('Model inputs'!E61&gt;='Model inputs'!O111),'Model inputs'!E61&gt;='Model inputs'!O111,IF(OR('Model inputs'!E61="",'Model inputs'!O111=""),"",'Model inputs'!E61&gt;='Model inputs'!O111))),IF('Model inputs'!O109="","",'Model inputs'!O109),0)</f>
        <v>0</v>
      </c>
      <c r="F83" s="20">
        <f>IF(IF(IF(ISERROR('Model inputs'!F61&gt;='Model inputs'!O111),'Model inputs'!F61&gt;='Model inputs'!O111,IF(OR('Model inputs'!F61="",'Model inputs'!O111=""),"",'Model inputs'!F61&gt;='Model inputs'!O111))="",FALSE,IF(ISERROR('Model inputs'!F61&gt;='Model inputs'!O111),'Model inputs'!F61&gt;='Model inputs'!O111,IF(OR('Model inputs'!F61="",'Model inputs'!O111=""),"",'Model inputs'!F61&gt;='Model inputs'!O111))),IF('Model inputs'!O109="","",'Model inputs'!O109),0)</f>
        <v>0</v>
      </c>
      <c r="G83" s="20">
        <f>IF(IF(IF(ISERROR('Model inputs'!G61&gt;='Model inputs'!O111),'Model inputs'!G61&gt;='Model inputs'!O111,IF(OR('Model inputs'!G61="",'Model inputs'!O111=""),"",'Model inputs'!G61&gt;='Model inputs'!O111))="",FALSE,IF(ISERROR('Model inputs'!G61&gt;='Model inputs'!O111),'Model inputs'!G61&gt;='Model inputs'!O111,IF(OR('Model inputs'!G61="",'Model inputs'!O111=""),"",'Model inputs'!G61&gt;='Model inputs'!O111))),IF('Model inputs'!O109="","",'Model inputs'!O109),0)</f>
        <v>0</v>
      </c>
      <c r="H83" s="20">
        <f>IF(IF(IF(ISERROR('Model inputs'!H61&gt;='Model inputs'!O111),'Model inputs'!H61&gt;='Model inputs'!O111,IF(OR('Model inputs'!H61="",'Model inputs'!O111=""),"",'Model inputs'!H61&gt;='Model inputs'!O111))="",FALSE,IF(ISERROR('Model inputs'!H61&gt;='Model inputs'!O111),'Model inputs'!H61&gt;='Model inputs'!O111,IF(OR('Model inputs'!H61="",'Model inputs'!O111=""),"",'Model inputs'!H61&gt;='Model inputs'!O111))),IF('Model inputs'!O109="","",'Model inputs'!O109),0)</f>
        <v>0</v>
      </c>
      <c r="I83" s="20">
        <f>IF(IF(IF(ISERROR('Model inputs'!I61&gt;='Model inputs'!O111),'Model inputs'!I61&gt;='Model inputs'!O111,IF(OR('Model inputs'!I61="",'Model inputs'!O111=""),"",'Model inputs'!I61&gt;='Model inputs'!O111))="",FALSE,IF(ISERROR('Model inputs'!I61&gt;='Model inputs'!O111),'Model inputs'!I61&gt;='Model inputs'!O111,IF(OR('Model inputs'!I61="",'Model inputs'!O111=""),"",'Model inputs'!I61&gt;='Model inputs'!O111))),IF('Model inputs'!O109="","",'Model inputs'!O109),0)</f>
        <v>4000</v>
      </c>
      <c r="J83" s="20">
        <f>IF(IF(IF(ISERROR('Model inputs'!J61&gt;='Model inputs'!O111),'Model inputs'!J61&gt;='Model inputs'!O111,IF(OR('Model inputs'!J61="",'Model inputs'!O111=""),"",'Model inputs'!J61&gt;='Model inputs'!O111))="",FALSE,IF(ISERROR('Model inputs'!J61&gt;='Model inputs'!O111),'Model inputs'!J61&gt;='Model inputs'!O111,IF(OR('Model inputs'!J61="",'Model inputs'!O111=""),"",'Model inputs'!J61&gt;='Model inputs'!O111))),IF('Model inputs'!O109="","",'Model inputs'!O109),0)</f>
        <v>4000</v>
      </c>
      <c r="K83" s="20">
        <f>IF(IF(IF(ISERROR('Model inputs'!K61&gt;='Model inputs'!O111),'Model inputs'!K61&gt;='Model inputs'!O111,IF(OR('Model inputs'!K61="",'Model inputs'!O111=""),"",'Model inputs'!K61&gt;='Model inputs'!O111))="",FALSE,IF(ISERROR('Model inputs'!K61&gt;='Model inputs'!O111),'Model inputs'!K61&gt;='Model inputs'!O111,IF(OR('Model inputs'!K61="",'Model inputs'!O111=""),"",'Model inputs'!K61&gt;='Model inputs'!O111))),IF('Model inputs'!O109="","",'Model inputs'!O109),0)</f>
        <v>4000</v>
      </c>
      <c r="L83" s="20">
        <f>IF(IF(IF(ISERROR('Model inputs'!L61&gt;='Model inputs'!O111),'Model inputs'!L61&gt;='Model inputs'!O111,IF(OR('Model inputs'!L61="",'Model inputs'!O111=""),"",'Model inputs'!L61&gt;='Model inputs'!O111))="",FALSE,IF(ISERROR('Model inputs'!L61&gt;='Model inputs'!O111),'Model inputs'!L61&gt;='Model inputs'!O111,IF(OR('Model inputs'!L61="",'Model inputs'!O111=""),"",'Model inputs'!L61&gt;='Model inputs'!O111))),IF('Model inputs'!O109="","",'Model inputs'!O109),0)</f>
        <v>4000</v>
      </c>
      <c r="M83" s="20">
        <f>IF(IF(IF(ISERROR('Model inputs'!M61&gt;='Model inputs'!O111),'Model inputs'!M61&gt;='Model inputs'!O111,IF(OR('Model inputs'!M61="",'Model inputs'!O111=""),"",'Model inputs'!M61&gt;='Model inputs'!O111))="",FALSE,IF(ISERROR('Model inputs'!M61&gt;='Model inputs'!O111),'Model inputs'!M61&gt;='Model inputs'!O111,IF(OR('Model inputs'!M61="",'Model inputs'!O111=""),"",'Model inputs'!M61&gt;='Model inputs'!O111))),IF('Model inputs'!O109="","",'Model inputs'!O109),0)</f>
        <v>4000</v>
      </c>
      <c r="N83" s="20">
        <f>IF(IF(IF(ISERROR('Model inputs'!N61&gt;='Model inputs'!O111),'Model inputs'!N61&gt;='Model inputs'!O111,IF(OR('Model inputs'!N61="",'Model inputs'!O111=""),"",'Model inputs'!N61&gt;='Model inputs'!O111))="",FALSE,IF(ISERROR('Model inputs'!N61&gt;='Model inputs'!O111),'Model inputs'!N61&gt;='Model inputs'!O111,IF(OR('Model inputs'!N61="",'Model inputs'!O111=""),"",'Model inputs'!N61&gt;='Model inputs'!O111))),IF('Model inputs'!O109="","",'Model inputs'!O109),0)</f>
        <v>4000</v>
      </c>
      <c r="P83" t="e" s="20">
        <f>IF(IF(IF(ISERROR('Model inputs'!P127&gt;='Model inputs'!O111),'Model inputs'!P127&gt;='Model inputs'!O111,IF(OR('Model inputs'!P127="",'Model inputs'!O111=""),"",'Model inputs'!P127&gt;='Model inputs'!O111))="",FALSE,IF(ISERROR('Model inputs'!P127&gt;='Model inputs'!O111),'Model inputs'!P127&gt;='Model inputs'!O111,IF(OR('Model inputs'!P127="",'Model inputs'!O111=""),"",'Model inputs'!P127&gt;='Model inputs'!O111))),IF('Model inputs'!O109="","",'Model inputs'!O109),0)</f>
        <v>#VALUE!</v>
      </c>
      <c r="Q83" t="e" s="20">
        <f>IF(IF(IF(ISERROR('Model inputs'!Q127&gt;='Model inputs'!O111),'Model inputs'!Q127&gt;='Model inputs'!O111,IF(OR('Model inputs'!Q127="",'Model inputs'!O111=""),"",'Model inputs'!Q127&gt;='Model inputs'!O111))="",FALSE,IF(ISERROR('Model inputs'!Q127&gt;='Model inputs'!O111),'Model inputs'!Q127&gt;='Model inputs'!O111,IF(OR('Model inputs'!Q127="",'Model inputs'!O111=""),"",'Model inputs'!Q127&gt;='Model inputs'!O111))),IF('Model inputs'!O109="","",'Model inputs'!O109),0)</f>
        <v>#VALUE!</v>
      </c>
      <c r="R83" t="e" s="20">
        <f>IF(IF(IF(ISERROR('Model inputs'!R127&gt;='Model inputs'!O111),'Model inputs'!R127&gt;='Model inputs'!O111,IF(OR('Model inputs'!R127="",'Model inputs'!O111=""),"",'Model inputs'!R127&gt;='Model inputs'!O111))="",FALSE,IF(ISERROR('Model inputs'!R127&gt;='Model inputs'!O111),'Model inputs'!R127&gt;='Model inputs'!O111,IF(OR('Model inputs'!R127="",'Model inputs'!O111=""),"",'Model inputs'!R127&gt;='Model inputs'!O111))),IF('Model inputs'!O109="","",'Model inputs'!O109),0)</f>
        <v>#VALUE!</v>
      </c>
      <c r="S83" t="e" s="20">
        <f>IF(IF(IF(ISERROR('Model inputs'!S127&gt;='Model inputs'!O111),'Model inputs'!S127&gt;='Model inputs'!O111,IF(OR('Model inputs'!S127="",'Model inputs'!O111=""),"",'Model inputs'!S127&gt;='Model inputs'!O111))="",FALSE,IF(ISERROR('Model inputs'!S127&gt;='Model inputs'!O111),'Model inputs'!S127&gt;='Model inputs'!O111,IF(OR('Model inputs'!S127="",'Model inputs'!O111=""),"",'Model inputs'!S127&gt;='Model inputs'!O111))),IF('Model inputs'!O109="","",'Model inputs'!O109),0)</f>
        <v>#VALUE!</v>
      </c>
      <c r="T83" t="e" s="20">
        <f>IF(IF(IF(ISERROR('Model inputs'!T127&gt;='Model inputs'!O111),'Model inputs'!T127&gt;='Model inputs'!O111,IF(OR('Model inputs'!T127="",'Model inputs'!O111=""),"",'Model inputs'!T127&gt;='Model inputs'!O111))="",FALSE,IF(ISERROR('Model inputs'!T127&gt;='Model inputs'!O111),'Model inputs'!T127&gt;='Model inputs'!O111,IF(OR('Model inputs'!T127="",'Model inputs'!O111=""),"",'Model inputs'!T127&gt;='Model inputs'!O111))),IF('Model inputs'!O109="","",'Model inputs'!O109),0)</f>
        <v>#VALUE!</v>
      </c>
      <c r="U83" t="e" s="20">
        <f>IF(IF(IF(ISERROR('Model inputs'!U127&gt;='Model inputs'!O111),'Model inputs'!U127&gt;='Model inputs'!O111,IF(OR('Model inputs'!U127="",'Model inputs'!O111=""),"",'Model inputs'!U127&gt;='Model inputs'!O111))="",FALSE,IF(ISERROR('Model inputs'!U127&gt;='Model inputs'!O111),'Model inputs'!U127&gt;='Model inputs'!O111,IF(OR('Model inputs'!U127="",'Model inputs'!O111=""),"",'Model inputs'!U127&gt;='Model inputs'!O111))),IF('Model inputs'!O109="","",'Model inputs'!O109),0)</f>
        <v>#VALUE!</v>
      </c>
      <c r="V83" t="e" s="20">
        <f>IF(IF(IF(ISERROR('Model inputs'!V127&gt;='Model inputs'!O111),'Model inputs'!V127&gt;='Model inputs'!O111,IF(OR('Model inputs'!V127="",'Model inputs'!O111=""),"",'Model inputs'!V127&gt;='Model inputs'!O111))="",FALSE,IF(ISERROR('Model inputs'!V127&gt;='Model inputs'!O111),'Model inputs'!V127&gt;='Model inputs'!O111,IF(OR('Model inputs'!V127="",'Model inputs'!O111=""),"",'Model inputs'!V127&gt;='Model inputs'!O111))),IF('Model inputs'!O109="","",'Model inputs'!O109),0)</f>
        <v>#VALUE!</v>
      </c>
      <c r="W83" t="e" s="20">
        <f>IF(IF(IF(ISERROR('Model inputs'!W127&gt;='Model inputs'!O111),'Model inputs'!W127&gt;='Model inputs'!O111,IF(OR('Model inputs'!W127="",'Model inputs'!O111=""),"",'Model inputs'!W127&gt;='Model inputs'!O111))="",FALSE,IF(ISERROR('Model inputs'!W127&gt;='Model inputs'!O111),'Model inputs'!W127&gt;='Model inputs'!O111,IF(OR('Model inputs'!W127="",'Model inputs'!O111=""),"",'Model inputs'!W127&gt;='Model inputs'!O111))),IF('Model inputs'!O109="","",'Model inputs'!O109),0)</f>
        <v>#VALUE!</v>
      </c>
    </row>
    <row r="84">
      <c r="A84" t="inlineStr" s="19">
        <is>
          <t xml:space="preserve">Free project cost · Scenario comparison · Upside</t>
        </is>
      </c>
      <c r="B84" s="20">
        <f>'Model inputs'!B112*'Model inputs'!O104</f>
        <v>0</v>
      </c>
      <c r="C84" s="20">
        <f>'Model inputs'!C112*'Model inputs'!O104</f>
        <v>4.5</v>
      </c>
      <c r="D84" s="20">
        <f>'Model inputs'!D112*'Model inputs'!O104</f>
        <v>9</v>
      </c>
      <c r="E84" s="20">
        <f>'Model inputs'!E112*'Model inputs'!O104</f>
        <v>15</v>
      </c>
      <c r="F84" s="20">
        <f>'Model inputs'!F112*'Model inputs'!O104</f>
        <v>15</v>
      </c>
      <c r="G84" s="20">
        <f>'Model inputs'!G112*'Model inputs'!O104</f>
        <v>15</v>
      </c>
      <c r="H84" s="20">
        <f>'Model inputs'!H112*'Model inputs'!O104</f>
        <v>15</v>
      </c>
      <c r="I84" s="20">
        <f>'Model inputs'!I112*'Model inputs'!O104</f>
        <v>15</v>
      </c>
      <c r="J84" s="20">
        <f>'Model inputs'!J112*'Model inputs'!O104</f>
        <v>15</v>
      </c>
      <c r="K84" s="20">
        <f>'Model inputs'!K112*'Model inputs'!O104</f>
        <v>15</v>
      </c>
      <c r="L84" s="20">
        <f>'Model inputs'!L112*'Model inputs'!O104</f>
        <v>15</v>
      </c>
      <c r="M84" s="20">
        <f>'Model inputs'!M112*'Model inputs'!O104</f>
        <v>15</v>
      </c>
      <c r="N84" s="20">
        <f>'Model inputs'!N112*'Model inputs'!O104</f>
        <v>15</v>
      </c>
      <c r="P84" s="20">
        <f>'Model inputs'!P112*'Model inputs'!O104</f>
        <v>0</v>
      </c>
      <c r="Q84" s="20">
        <f>'Model inputs'!Q112*'Model inputs'!O104</f>
        <v>0</v>
      </c>
      <c r="R84" s="20">
        <f>'Model inputs'!R112*'Model inputs'!O104</f>
        <v>0</v>
      </c>
      <c r="S84" s="20">
        <f>'Model inputs'!S112*'Model inputs'!O104</f>
        <v>0</v>
      </c>
      <c r="T84" s="20">
        <f>'Model inputs'!T112*'Model inputs'!O104</f>
        <v>0</v>
      </c>
      <c r="U84" s="20">
        <f>'Model inputs'!U112*'Model inputs'!O104</f>
        <v>0</v>
      </c>
      <c r="V84" s="20">
        <f>'Model inputs'!V112*'Model inputs'!O104</f>
        <v>0</v>
      </c>
      <c r="W84" s="20">
        <f>'Model inputs'!W112*'Model inputs'!O104</f>
        <v>0</v>
      </c>
    </row>
    <row r="85">
      <c r="A85" t="inlineStr" s="19">
        <is>
          <t xml:space="preserve">Free project cost · Scenario comparison · Downside</t>
        </is>
      </c>
      <c r="B85" s="20">
        <f>'Model inputs'!B113*'Model inputs'!O105</f>
        <v>0</v>
      </c>
      <c r="C85" s="20">
        <f>'Model inputs'!C113*'Model inputs'!O105</f>
        <v>4.5</v>
      </c>
      <c r="D85" s="20">
        <f>'Model inputs'!D113*'Model inputs'!O105</f>
        <v>9</v>
      </c>
      <c r="E85" s="20">
        <f>'Model inputs'!E113*'Model inputs'!O105</f>
        <v>15</v>
      </c>
      <c r="F85" s="20">
        <f>'Model inputs'!F113*'Model inputs'!O105</f>
        <v>15</v>
      </c>
      <c r="G85" s="20">
        <f>'Model inputs'!G113*'Model inputs'!O105</f>
        <v>15</v>
      </c>
      <c r="H85" s="20">
        <f>'Model inputs'!H113*'Model inputs'!O105</f>
        <v>15</v>
      </c>
      <c r="I85" s="20">
        <f>'Model inputs'!I113*'Model inputs'!O105</f>
        <v>15</v>
      </c>
      <c r="J85" s="20">
        <f>'Model inputs'!J113*'Model inputs'!O105</f>
        <v>15</v>
      </c>
      <c r="K85" s="20">
        <f>'Model inputs'!K113*'Model inputs'!O105</f>
        <v>15</v>
      </c>
      <c r="L85" s="20">
        <f>'Model inputs'!L113*'Model inputs'!O105</f>
        <v>15</v>
      </c>
      <c r="M85" s="20">
        <f>'Model inputs'!M113*'Model inputs'!O105</f>
        <v>15</v>
      </c>
      <c r="N85" s="20">
        <f>'Model inputs'!N113*'Model inputs'!O105</f>
        <v>15</v>
      </c>
      <c r="P85" s="20">
        <f>'Model inputs'!P113*'Model inputs'!O105</f>
        <v>0</v>
      </c>
      <c r="Q85" s="20">
        <f>'Model inputs'!Q113*'Model inputs'!O105</f>
        <v>0</v>
      </c>
      <c r="R85" s="20">
        <f>'Model inputs'!R113*'Model inputs'!O105</f>
        <v>0</v>
      </c>
      <c r="S85" s="20">
        <f>'Model inputs'!S113*'Model inputs'!O105</f>
        <v>0</v>
      </c>
      <c r="T85" s="20">
        <f>'Model inputs'!T113*'Model inputs'!O105</f>
        <v>0</v>
      </c>
      <c r="U85" s="20">
        <f>'Model inputs'!U113*'Model inputs'!O105</f>
        <v>0</v>
      </c>
      <c r="V85" s="20">
        <f>'Model inputs'!V113*'Model inputs'!O105</f>
        <v>0</v>
      </c>
      <c r="W85" s="20">
        <f>'Model inputs'!W113*'Model inputs'!O105</f>
        <v>0</v>
      </c>
    </row>
    <row r="86">
      <c r="A86" t="inlineStr" s="19">
        <is>
          <t xml:space="preserve">Funding if hired at earliest month · Funding if hired at earliest month</t>
        </is>
      </c>
      <c r="B86" t="e" s="20">
        <f>IF('Model inputs'!B41="","",'Model inputs'!B41)</f>
        <v>#VALUE!</v>
      </c>
      <c r="C86" s="20">
        <f>IF('Model inputs'!C41="","",'Model inputs'!C41)</f>
        <v>154.5</v>
      </c>
      <c r="D86" s="20">
        <f>IF('Model inputs'!D41="","",'Model inputs'!D41)</f>
        <v>154.5</v>
      </c>
      <c r="E86" s="20">
        <f>IF('Model inputs'!E41="","",'Model inputs'!E41)</f>
        <v>154.5</v>
      </c>
      <c r="F86" s="20">
        <f>IF('Model inputs'!F41="","",'Model inputs'!F41)</f>
        <v>154.5</v>
      </c>
      <c r="G86" s="20">
        <f>IF('Model inputs'!G41="","",'Model inputs'!G41)</f>
        <v>154.5</v>
      </c>
      <c r="H86" s="20">
        <f>IF('Model inputs'!H41="","",'Model inputs'!H41)</f>
        <v>154.5</v>
      </c>
      <c r="I86" s="20">
        <f>IF('Model inputs'!I41="","",'Model inputs'!I41)</f>
        <v>906.5</v>
      </c>
      <c r="J86" s="20">
        <f>IF('Model inputs'!J41="","",'Model inputs'!J41)</f>
        <v>3047.5</v>
      </c>
      <c r="K86" s="20">
        <f>IF('Model inputs'!K41="","",'Model inputs'!K41)</f>
        <v>4452.5</v>
      </c>
      <c r="L86" s="20">
        <f>IF('Model inputs'!L41="","",'Model inputs'!L41)</f>
        <v>10937.5</v>
      </c>
      <c r="M86" s="20">
        <f>IF('Model inputs'!M41="","",'Model inputs'!M41)</f>
        <v>16502.5</v>
      </c>
      <c r="N86" s="20">
        <f>IF('Model inputs'!N41="","",'Model inputs'!N41)</f>
        <v>21147.5</v>
      </c>
      <c r="P86" t="e" s="20">
        <f>IF(IF(IF(ISERROR('Model inputs'!P125=1),'Model inputs'!P125=1,IF('Model inputs'!P125="","",'Model inputs'!P125=1))="",FALSE,IF(ISERROR('Model inputs'!P125=1),'Model inputs'!P125=1,IF('Model inputs'!P125="","",'Model inputs'!P125=1))),MAX(0,-'Model inputs'!P69),MAX(0,-'Model inputs'!P69,""))</f>
        <v>#VALUE!</v>
      </c>
      <c r="Q86" t="e" s="20">
        <f>IF(IF(IF(ISERROR('Model inputs'!Q125=1),'Model inputs'!Q125=1,IF('Model inputs'!Q125="","",'Model inputs'!Q125=1))="",FALSE,IF(ISERROR('Model inputs'!Q125=1),'Model inputs'!Q125=1,IF('Model inputs'!Q125="","",'Model inputs'!Q125=1))),MAX(0,-'Model inputs'!Q69),MAX(0,-'Model inputs'!Q69,'Model inputs'!P86))</f>
        <v>#VALUE!</v>
      </c>
      <c r="R86" t="e" s="20">
        <f>IF(IF(IF(ISERROR('Model inputs'!R125=1),'Model inputs'!R125=1,IF('Model inputs'!R125="","",'Model inputs'!R125=1))="",FALSE,IF(ISERROR('Model inputs'!R125=1),'Model inputs'!R125=1,IF('Model inputs'!R125="","",'Model inputs'!R125=1))),MAX(0,-'Model inputs'!R69),MAX(0,-'Model inputs'!R69,'Model inputs'!Q86))</f>
        <v>#VALUE!</v>
      </c>
      <c r="S86" t="e" s="20">
        <f>IF(IF(IF(ISERROR('Model inputs'!S125=1),'Model inputs'!S125=1,IF('Model inputs'!S125="","",'Model inputs'!S125=1))="",FALSE,IF(ISERROR('Model inputs'!S125=1),'Model inputs'!S125=1,IF('Model inputs'!S125="","",'Model inputs'!S125=1))),MAX(0,-'Model inputs'!S69),MAX(0,-'Model inputs'!S69,'Model inputs'!R86))</f>
        <v>#VALUE!</v>
      </c>
      <c r="T86" t="e" s="20">
        <f>IF(IF(IF(ISERROR('Model inputs'!T125=1),'Model inputs'!T125=1,IF('Model inputs'!T125="","",'Model inputs'!T125=1))="",FALSE,IF(ISERROR('Model inputs'!T125=1),'Model inputs'!T125=1,IF('Model inputs'!T125="","",'Model inputs'!T125=1))),MAX(0,-'Model inputs'!T69),MAX(0,-'Model inputs'!T69,'Model inputs'!S86))</f>
        <v>#VALUE!</v>
      </c>
      <c r="U86" t="e" s="20">
        <f>IF(IF(IF(ISERROR('Model inputs'!U125=1),'Model inputs'!U125=1,IF('Model inputs'!U125="","",'Model inputs'!U125=1))="",FALSE,IF(ISERROR('Model inputs'!U125=1),'Model inputs'!U125=1,IF('Model inputs'!U125="","",'Model inputs'!U125=1))),MAX(0,-'Model inputs'!U69),MAX(0,-'Model inputs'!U69,'Model inputs'!T86))</f>
        <v>#VALUE!</v>
      </c>
      <c r="V86" t="e" s="20">
        <f>IF(IF(IF(ISERROR('Model inputs'!V125=1),'Model inputs'!V125=1,IF('Model inputs'!V125="","",'Model inputs'!V125=1))="",FALSE,IF(ISERROR('Model inputs'!V125=1),'Model inputs'!V125=1,IF('Model inputs'!V125="","",'Model inputs'!V125=1))),MAX(0,-'Model inputs'!V69),MAX(0,-'Model inputs'!V69,'Model inputs'!U86))</f>
        <v>#VALUE!</v>
      </c>
      <c r="W86" t="e" s="20">
        <f>IF(IF(IF(ISERROR('Model inputs'!W125=1),'Model inputs'!W125=1,IF('Model inputs'!W125="","",'Model inputs'!W125=1))="",FALSE,IF(ISERROR('Model inputs'!W125=1),'Model inputs'!W125=1,IF('Model inputs'!W125="","",'Model inputs'!W125=1))),MAX(0,-'Model inputs'!W69),MAX(0,-'Model inputs'!W69,'Model inputs'!V86))</f>
        <v>#VALUE!</v>
      </c>
    </row>
    <row r="87">
      <c r="A87" t="inlineStr" s="19">
        <is>
          <t xml:space="preserve">Gross profit · Scenario comparison · Upside</t>
        </is>
      </c>
      <c r="B87" s="20">
        <f>'Model inputs'!B128-'Model inputs'!B121</f>
        <v>0</v>
      </c>
      <c r="C87" s="20">
        <f>'Model inputs'!C128-'Model inputs'!C121</f>
        <v>184</v>
      </c>
      <c r="D87" s="20">
        <f>'Model inputs'!D128-'Model inputs'!D121</f>
        <v>368</v>
      </c>
      <c r="E87" s="20">
        <f>'Model inputs'!E128-'Model inputs'!E121</f>
        <v>736</v>
      </c>
      <c r="F87" s="20">
        <f>'Model inputs'!F128-'Model inputs'!F121</f>
        <v>1104</v>
      </c>
      <c r="G87" s="20">
        <f>'Model inputs'!G128-'Model inputs'!G121</f>
        <v>1656</v>
      </c>
      <c r="H87" s="20">
        <f>'Model inputs'!H128-'Model inputs'!H121</f>
        <v>2208</v>
      </c>
      <c r="I87" s="20">
        <f>'Model inputs'!I128-'Model inputs'!I121</f>
        <v>3128</v>
      </c>
      <c r="J87" s="20">
        <f>'Model inputs'!J128-'Model inputs'!J121</f>
        <v>4232</v>
      </c>
      <c r="K87" s="20">
        <f>'Model inputs'!K128-'Model inputs'!K121</f>
        <v>5520</v>
      </c>
      <c r="L87" s="20">
        <f>'Model inputs'!L128-'Model inputs'!L121</f>
        <v>7360</v>
      </c>
      <c r="M87" s="20">
        <f>'Model inputs'!M128-'Model inputs'!M121</f>
        <v>9200</v>
      </c>
      <c r="N87" s="20">
        <f>'Model inputs'!N128-'Model inputs'!N121</f>
        <v>11040</v>
      </c>
      <c r="P87" s="20">
        <f>'Model inputs'!P128-'Model inputs'!P121</f>
        <v>0</v>
      </c>
      <c r="Q87" s="20">
        <f>'Model inputs'!Q128-'Model inputs'!Q121</f>
        <v>0</v>
      </c>
      <c r="R87" s="20">
        <f>'Model inputs'!R128-'Model inputs'!R121</f>
        <v>0</v>
      </c>
      <c r="S87" s="20">
        <f>'Model inputs'!S128-'Model inputs'!S121</f>
        <v>0</v>
      </c>
      <c r="T87" s="20">
        <f>'Model inputs'!T128-'Model inputs'!T121</f>
        <v>0</v>
      </c>
      <c r="U87" s="20">
        <f>'Model inputs'!U128-'Model inputs'!U121</f>
        <v>0</v>
      </c>
      <c r="V87" s="20">
        <f>'Model inputs'!V128-'Model inputs'!V121</f>
        <v>0</v>
      </c>
      <c r="W87" s="20">
        <f>'Model inputs'!W128-'Model inputs'!W121</f>
        <v>0</v>
      </c>
    </row>
    <row r="88">
      <c r="A88" t="inlineStr" s="19">
        <is>
          <t xml:space="preserve">Gross profit · Scenario comparison · Downside</t>
        </is>
      </c>
      <c r="B88" s="20">
        <f>'Model inputs'!B129-'Model inputs'!B122</f>
        <v>0</v>
      </c>
      <c r="C88" s="20">
        <f>'Model inputs'!C129-'Model inputs'!C122</f>
        <v>0</v>
      </c>
      <c r="D88" s="20">
        <f>'Model inputs'!D129-'Model inputs'!D122</f>
        <v>0</v>
      </c>
      <c r="E88" s="20">
        <f>'Model inputs'!E129-'Model inputs'!E122</f>
        <v>184</v>
      </c>
      <c r="F88" s="20">
        <f>'Model inputs'!F129-'Model inputs'!F122</f>
        <v>184</v>
      </c>
      <c r="G88" s="20">
        <f>'Model inputs'!G129-'Model inputs'!G122</f>
        <v>368</v>
      </c>
      <c r="H88" s="20">
        <f>'Model inputs'!H129-'Model inputs'!H122</f>
        <v>368</v>
      </c>
      <c r="I88" s="20">
        <f>'Model inputs'!I129-'Model inputs'!I122</f>
        <v>552</v>
      </c>
      <c r="J88" s="20">
        <f>'Model inputs'!J129-'Model inputs'!J122</f>
        <v>736</v>
      </c>
      <c r="K88" s="20">
        <f>'Model inputs'!K129-'Model inputs'!K122</f>
        <v>920</v>
      </c>
      <c r="L88" s="20">
        <f>'Model inputs'!L129-'Model inputs'!L122</f>
        <v>1288</v>
      </c>
      <c r="M88" s="20">
        <f>'Model inputs'!M129-'Model inputs'!M122</f>
        <v>1656</v>
      </c>
      <c r="N88" s="20">
        <f>'Model inputs'!N129-'Model inputs'!N122</f>
        <v>2208</v>
      </c>
      <c r="P88" s="20">
        <f>'Model inputs'!P129-'Model inputs'!P122</f>
        <v>0</v>
      </c>
      <c r="Q88" s="20">
        <f>'Model inputs'!Q129-'Model inputs'!Q122</f>
        <v>0</v>
      </c>
      <c r="R88" s="20">
        <f>'Model inputs'!R129-'Model inputs'!R122</f>
        <v>0</v>
      </c>
      <c r="S88" s="20">
        <f>'Model inputs'!S129-'Model inputs'!S122</f>
        <v>0</v>
      </c>
      <c r="T88" s="20">
        <f>'Model inputs'!T129-'Model inputs'!T122</f>
        <v>0</v>
      </c>
      <c r="U88" s="20">
        <f>'Model inputs'!U129-'Model inputs'!U122</f>
        <v>0</v>
      </c>
      <c r="V88" s="20">
        <f>'Model inputs'!V129-'Model inputs'!V122</f>
        <v>0</v>
      </c>
      <c r="W88" s="20">
        <f>'Model inputs'!W129-'Model inputs'!W122</f>
        <v>0</v>
      </c>
    </row>
    <row r="89">
      <c r="A89" t="inlineStr" s="19">
        <is>
          <t xml:space="preserve">Minimum funding to date · Minimum funding to date · Main Scenario · Main Scenario</t>
        </is>
      </c>
      <c r="B89" t="e" s="15">
        <f>IF('Model inputs'!B44="","",'Model inputs'!B44)</f>
        <v>#VALUE!</v>
      </c>
      <c r="C89" s="15">
        <f>IF('Model inputs'!C44="","",'Model inputs'!C44)</f>
        <v>154.5</v>
      </c>
      <c r="D89" s="15">
        <f>IF('Model inputs'!D44="","",'Model inputs'!D44)</f>
        <v>154.5</v>
      </c>
      <c r="E89" s="15">
        <f>IF('Model inputs'!E44="","",'Model inputs'!E44)</f>
        <v>154.5</v>
      </c>
      <c r="F89" s="15">
        <f>IF('Model inputs'!F44="","",'Model inputs'!F44)</f>
        <v>154.5</v>
      </c>
      <c r="G89" s="15">
        <f>IF('Model inputs'!G44="","",'Model inputs'!G44)</f>
        <v>154.5</v>
      </c>
      <c r="H89" s="15">
        <f>IF('Model inputs'!H44="","",'Model inputs'!H44)</f>
        <v>154.5</v>
      </c>
      <c r="I89" s="15">
        <f>IF('Model inputs'!I44="","",'Model inputs'!I44)</f>
        <v>906.5</v>
      </c>
      <c r="J89" s="15">
        <f>IF('Model inputs'!J44="","",'Model inputs'!J44)</f>
        <v>3047.5</v>
      </c>
      <c r="K89" s="15">
        <f>IF('Model inputs'!K44="","",'Model inputs'!K44)</f>
        <v>4452.5</v>
      </c>
      <c r="L89" s="15">
        <f>IF('Model inputs'!L44="","",'Model inputs'!L44)</f>
        <v>4937.5</v>
      </c>
      <c r="M89" s="15">
        <f>IF('Model inputs'!M44="","",'Model inputs'!M44)</f>
        <v>4937.5</v>
      </c>
      <c r="N89" s="15">
        <f>IF('Model inputs'!N44="","",'Model inputs'!N44)</f>
        <v>4937.5</v>
      </c>
      <c r="P89" t="e" s="15">
        <f>IF(IF(IF(ISERROR('Model inputs'!P125=1),'Model inputs'!P125=1,IF('Model inputs'!P125="","",'Model inputs'!P125=1))="",FALSE,IF(ISERROR('Model inputs'!P125=1),'Model inputs'!P125=1,IF('Model inputs'!P125="","",'Model inputs'!P125=1))),MAX(0,-'Model inputs'!P70),MAX(0,-'Model inputs'!P70,""))</f>
        <v>#VALUE!</v>
      </c>
      <c r="Q89" t="e" s="15">
        <f>IF(IF(IF(ISERROR('Model inputs'!Q125=1),'Model inputs'!Q125=1,IF('Model inputs'!Q125="","",'Model inputs'!Q125=1))="",FALSE,IF(ISERROR('Model inputs'!Q125=1),'Model inputs'!Q125=1,IF('Model inputs'!Q125="","",'Model inputs'!Q125=1))),MAX(0,-'Model inputs'!Q70),MAX(0,-'Model inputs'!Q70,'Model inputs'!P89))</f>
        <v>#VALUE!</v>
      </c>
      <c r="R89" t="e" s="15">
        <f>IF(IF(IF(ISERROR('Model inputs'!R125=1),'Model inputs'!R125=1,IF('Model inputs'!R125="","",'Model inputs'!R125=1))="",FALSE,IF(ISERROR('Model inputs'!R125=1),'Model inputs'!R125=1,IF('Model inputs'!R125="","",'Model inputs'!R125=1))),MAX(0,-'Model inputs'!R70),MAX(0,-'Model inputs'!R70,'Model inputs'!Q89))</f>
        <v>#VALUE!</v>
      </c>
      <c r="S89" t="e" s="15">
        <f>IF(IF(IF(ISERROR('Model inputs'!S125=1),'Model inputs'!S125=1,IF('Model inputs'!S125="","",'Model inputs'!S125=1))="",FALSE,IF(ISERROR('Model inputs'!S125=1),'Model inputs'!S125=1,IF('Model inputs'!S125="","",'Model inputs'!S125=1))),MAX(0,-'Model inputs'!S70),MAX(0,-'Model inputs'!S70,'Model inputs'!R89))</f>
        <v>#VALUE!</v>
      </c>
      <c r="T89" t="e" s="15">
        <f>IF(IF(IF(ISERROR('Model inputs'!T125=1),'Model inputs'!T125=1,IF('Model inputs'!T125="","",'Model inputs'!T125=1))="",FALSE,IF(ISERROR('Model inputs'!T125=1),'Model inputs'!T125=1,IF('Model inputs'!T125="","",'Model inputs'!T125=1))),MAX(0,-'Model inputs'!T70),MAX(0,-'Model inputs'!T70,'Model inputs'!S89))</f>
        <v>#VALUE!</v>
      </c>
      <c r="U89" t="e" s="15">
        <f>IF(IF(IF(ISERROR('Model inputs'!U125=1),'Model inputs'!U125=1,IF('Model inputs'!U125="","",'Model inputs'!U125=1))="",FALSE,IF(ISERROR('Model inputs'!U125=1),'Model inputs'!U125=1,IF('Model inputs'!U125="","",'Model inputs'!U125=1))),MAX(0,-'Model inputs'!U70),MAX(0,-'Model inputs'!U70,'Model inputs'!T89))</f>
        <v>#VALUE!</v>
      </c>
      <c r="V89" t="e" s="15">
        <f>IF(IF(IF(ISERROR('Model inputs'!V125=1),'Model inputs'!V125=1,IF('Model inputs'!V125="","",'Model inputs'!V125=1))="",FALSE,IF(ISERROR('Model inputs'!V125=1),'Model inputs'!V125=1,IF('Model inputs'!V125="","",'Model inputs'!V125=1))),MAX(0,-'Model inputs'!V70),MAX(0,-'Model inputs'!V70,'Model inputs'!U89))</f>
        <v>#VALUE!</v>
      </c>
      <c r="W89" t="e" s="15">
        <f>IF(IF(IF(ISERROR('Model inputs'!W125=1),'Model inputs'!W125=1,IF('Model inputs'!W125="","",'Model inputs'!W125=1))="",FALSE,IF(ISERROR('Model inputs'!W125=1),'Model inputs'!W125=1,IF('Model inputs'!W125="","",'Model inputs'!W125=1))),MAX(0,-'Model inputs'!W70),MAX(0,-'Model inputs'!W70,'Model inputs'!V89))</f>
        <v>#VALUE!</v>
      </c>
    </row>
    <row r="90">
      <c r="A90" t="inlineStr" s="19">
        <is>
          <t xml:space="preserve">Minimum funding to date · Minimum funding to date · Upside · Upside</t>
        </is>
      </c>
      <c r="B90" t="e" s="15">
        <f>IF('Model inputs'!B45="","",'Model inputs'!B45)</f>
        <v>#VALUE!</v>
      </c>
      <c r="C90" s="15">
        <f>IF('Model inputs'!C45="","",'Model inputs'!C45)</f>
        <v>0</v>
      </c>
      <c r="D90" s="15">
        <f>IF('Model inputs'!D45="","",'Model inputs'!D45)</f>
        <v>0</v>
      </c>
      <c r="E90" s="15">
        <f>IF('Model inputs'!E45="","",'Model inputs'!E45)</f>
        <v>0</v>
      </c>
      <c r="F90" s="15">
        <f>IF('Model inputs'!F45="","",'Model inputs'!F45)</f>
        <v>0</v>
      </c>
      <c r="G90" s="15">
        <f>IF('Model inputs'!G45="","",'Model inputs'!G45)</f>
        <v>0</v>
      </c>
      <c r="H90" s="15">
        <f>IF('Model inputs'!H45="","",'Model inputs'!H45)</f>
        <v>0</v>
      </c>
      <c r="I90" s="15">
        <f>IF('Model inputs'!I45="","",'Model inputs'!I45)</f>
        <v>0</v>
      </c>
      <c r="J90" s="15">
        <f>IF('Model inputs'!J45="","",'Model inputs'!J45)</f>
        <v>0</v>
      </c>
      <c r="K90" s="15">
        <f>IF('Model inputs'!K45="","",'Model inputs'!K45)</f>
        <v>0</v>
      </c>
      <c r="L90" s="15">
        <f>IF('Model inputs'!L45="","",'Model inputs'!L45)</f>
        <v>0</v>
      </c>
      <c r="M90" s="15">
        <f>IF('Model inputs'!M45="","",'Model inputs'!M45)</f>
        <v>0</v>
      </c>
      <c r="N90" s="15">
        <f>IF('Model inputs'!N45="","",'Model inputs'!N45)</f>
        <v>0</v>
      </c>
      <c r="P90" t="e" s="15">
        <f>IF(IF(IF(ISERROR('Model inputs'!P126=1),'Model inputs'!P126=1,IF('Model inputs'!P126="","",'Model inputs'!P126=1))="",FALSE,IF(ISERROR('Model inputs'!P126=1),'Model inputs'!P126=1,IF('Model inputs'!P126="","",'Model inputs'!P126=1))),MAX(0,-'Model inputs'!P71),MAX(0,-'Model inputs'!P71,""))</f>
        <v>#VALUE!</v>
      </c>
      <c r="Q90" t="e" s="15">
        <f>IF(IF(IF(ISERROR('Model inputs'!Q126=1),'Model inputs'!Q126=1,IF('Model inputs'!Q126="","",'Model inputs'!Q126=1))="",FALSE,IF(ISERROR('Model inputs'!Q126=1),'Model inputs'!Q126=1,IF('Model inputs'!Q126="","",'Model inputs'!Q126=1))),MAX(0,-'Model inputs'!Q71),MAX(0,-'Model inputs'!Q71,'Model inputs'!P90))</f>
        <v>#VALUE!</v>
      </c>
      <c r="R90" t="e" s="15">
        <f>IF(IF(IF(ISERROR('Model inputs'!R126=1),'Model inputs'!R126=1,IF('Model inputs'!R126="","",'Model inputs'!R126=1))="",FALSE,IF(ISERROR('Model inputs'!R126=1),'Model inputs'!R126=1,IF('Model inputs'!R126="","",'Model inputs'!R126=1))),MAX(0,-'Model inputs'!R71),MAX(0,-'Model inputs'!R71,'Model inputs'!Q90))</f>
        <v>#VALUE!</v>
      </c>
      <c r="S90" t="e" s="15">
        <f>IF(IF(IF(ISERROR('Model inputs'!S126=1),'Model inputs'!S126=1,IF('Model inputs'!S126="","",'Model inputs'!S126=1))="",FALSE,IF(ISERROR('Model inputs'!S126=1),'Model inputs'!S126=1,IF('Model inputs'!S126="","",'Model inputs'!S126=1))),MAX(0,-'Model inputs'!S71),MAX(0,-'Model inputs'!S71,'Model inputs'!R90))</f>
        <v>#VALUE!</v>
      </c>
      <c r="T90" t="e" s="15">
        <f>IF(IF(IF(ISERROR('Model inputs'!T126=1),'Model inputs'!T126=1,IF('Model inputs'!T126="","",'Model inputs'!T126=1))="",FALSE,IF(ISERROR('Model inputs'!T126=1),'Model inputs'!T126=1,IF('Model inputs'!T126="","",'Model inputs'!T126=1))),MAX(0,-'Model inputs'!T71),MAX(0,-'Model inputs'!T71,'Model inputs'!S90))</f>
        <v>#VALUE!</v>
      </c>
      <c r="U90" t="e" s="15">
        <f>IF(IF(IF(ISERROR('Model inputs'!U126=1),'Model inputs'!U126=1,IF('Model inputs'!U126="","",'Model inputs'!U126=1))="",FALSE,IF(ISERROR('Model inputs'!U126=1),'Model inputs'!U126=1,IF('Model inputs'!U126="","",'Model inputs'!U126=1))),MAX(0,-'Model inputs'!U71),MAX(0,-'Model inputs'!U71,'Model inputs'!T90))</f>
        <v>#VALUE!</v>
      </c>
      <c r="V90" t="e" s="15">
        <f>IF(IF(IF(ISERROR('Model inputs'!V126=1),'Model inputs'!V126=1,IF('Model inputs'!V126="","",'Model inputs'!V126=1))="",FALSE,IF(ISERROR('Model inputs'!V126=1),'Model inputs'!V126=1,IF('Model inputs'!V126="","",'Model inputs'!V126=1))),MAX(0,-'Model inputs'!V71),MAX(0,-'Model inputs'!V71,'Model inputs'!U90))</f>
        <v>#VALUE!</v>
      </c>
      <c r="W90" t="e" s="15">
        <f>IF(IF(IF(ISERROR('Model inputs'!W126=1),'Model inputs'!W126=1,IF('Model inputs'!W126="","",'Model inputs'!W126=1))="",FALSE,IF(ISERROR('Model inputs'!W126=1),'Model inputs'!W126=1,IF('Model inputs'!W126="","",'Model inputs'!W126=1))),MAX(0,-'Model inputs'!W71),MAX(0,-'Model inputs'!W71,'Model inputs'!V90))</f>
        <v>#VALUE!</v>
      </c>
    </row>
    <row r="91">
      <c r="A91" t="inlineStr" s="19">
        <is>
          <t xml:space="preserve">Minimum funding to date · Minimum funding to date · Downside · Downside</t>
        </is>
      </c>
      <c r="B91" t="e" s="15">
        <f>IF('Model inputs'!B46="","",'Model inputs'!B46)</f>
        <v>#VALUE!</v>
      </c>
      <c r="C91" s="15">
        <f>IF('Model inputs'!C46="","",'Model inputs'!C46)</f>
        <v>154.5</v>
      </c>
      <c r="D91" s="15">
        <f>IF('Model inputs'!D46="","",'Model inputs'!D46)</f>
        <v>313.5</v>
      </c>
      <c r="E91" s="15">
        <f>IF('Model inputs'!E46="","",'Model inputs'!E46)</f>
        <v>313.5</v>
      </c>
      <c r="F91" s="15">
        <f>IF('Model inputs'!F46="","",'Model inputs'!F46)</f>
        <v>313.5</v>
      </c>
      <c r="G91" s="15">
        <f>IF('Model inputs'!G46="","",'Model inputs'!G46)</f>
        <v>313.5</v>
      </c>
      <c r="H91" s="15">
        <f>IF('Model inputs'!H46="","",'Model inputs'!H46)</f>
        <v>313.5</v>
      </c>
      <c r="I91" s="15">
        <f>IF('Model inputs'!I46="","",'Model inputs'!I46)</f>
        <v>3482.5</v>
      </c>
      <c r="J91" s="15">
        <f>IF('Model inputs'!J46="","",'Model inputs'!J46)</f>
        <v>6911.5</v>
      </c>
      <c r="K91" s="15">
        <f>IF('Model inputs'!K46="","",'Model inputs'!K46)</f>
        <v>10156.5</v>
      </c>
      <c r="L91" s="15">
        <f>IF('Model inputs'!L46="","",'Model inputs'!L46)</f>
        <v>13033.5</v>
      </c>
      <c r="M91" s="15">
        <f>IF('Model inputs'!M46="","",'Model inputs'!M46)</f>
        <v>15542.5</v>
      </c>
      <c r="N91" s="15">
        <f>IF('Model inputs'!N46="","",'Model inputs'!N46)</f>
        <v>17499.5</v>
      </c>
      <c r="P91" t="e" s="15">
        <f>IF(IF(IF(ISERROR('Model inputs'!P127=1),'Model inputs'!P127=1,IF('Model inputs'!P127="","",'Model inputs'!P127=1))="",FALSE,IF(ISERROR('Model inputs'!P127=1),'Model inputs'!P127=1,IF('Model inputs'!P127="","",'Model inputs'!P127=1))),MAX(0,-'Model inputs'!P72),MAX(0,-'Model inputs'!P72,""))</f>
        <v>#VALUE!</v>
      </c>
      <c r="Q91" t="e" s="15">
        <f>IF(IF(IF(ISERROR('Model inputs'!Q127=1),'Model inputs'!Q127=1,IF('Model inputs'!Q127="","",'Model inputs'!Q127=1))="",FALSE,IF(ISERROR('Model inputs'!Q127=1),'Model inputs'!Q127=1,IF('Model inputs'!Q127="","",'Model inputs'!Q127=1))),MAX(0,-'Model inputs'!Q72),MAX(0,-'Model inputs'!Q72,'Model inputs'!P91))</f>
        <v>#VALUE!</v>
      </c>
      <c r="R91" t="e" s="15">
        <f>IF(IF(IF(ISERROR('Model inputs'!R127=1),'Model inputs'!R127=1,IF('Model inputs'!R127="","",'Model inputs'!R127=1))="",FALSE,IF(ISERROR('Model inputs'!R127=1),'Model inputs'!R127=1,IF('Model inputs'!R127="","",'Model inputs'!R127=1))),MAX(0,-'Model inputs'!R72),MAX(0,-'Model inputs'!R72,'Model inputs'!Q91))</f>
        <v>#VALUE!</v>
      </c>
      <c r="S91" t="e" s="15">
        <f>IF(IF(IF(ISERROR('Model inputs'!S127=1),'Model inputs'!S127=1,IF('Model inputs'!S127="","",'Model inputs'!S127=1))="",FALSE,IF(ISERROR('Model inputs'!S127=1),'Model inputs'!S127=1,IF('Model inputs'!S127="","",'Model inputs'!S127=1))),MAX(0,-'Model inputs'!S72),MAX(0,-'Model inputs'!S72,'Model inputs'!R91))</f>
        <v>#VALUE!</v>
      </c>
      <c r="T91" t="e" s="15">
        <f>IF(IF(IF(ISERROR('Model inputs'!T127=1),'Model inputs'!T127=1,IF('Model inputs'!T127="","",'Model inputs'!T127=1))="",FALSE,IF(ISERROR('Model inputs'!T127=1),'Model inputs'!T127=1,IF('Model inputs'!T127="","",'Model inputs'!T127=1))),MAX(0,-'Model inputs'!T72),MAX(0,-'Model inputs'!T72,'Model inputs'!S91))</f>
        <v>#VALUE!</v>
      </c>
      <c r="U91" t="e" s="15">
        <f>IF(IF(IF(ISERROR('Model inputs'!U127=1),'Model inputs'!U127=1,IF('Model inputs'!U127="","",'Model inputs'!U127=1))="",FALSE,IF(ISERROR('Model inputs'!U127=1),'Model inputs'!U127=1,IF('Model inputs'!U127="","",'Model inputs'!U127=1))),MAX(0,-'Model inputs'!U72),MAX(0,-'Model inputs'!U72,'Model inputs'!T91))</f>
        <v>#VALUE!</v>
      </c>
      <c r="V91" t="e" s="15">
        <f>IF(IF(IF(ISERROR('Model inputs'!V127=1),'Model inputs'!V127=1,IF('Model inputs'!V127="","",'Model inputs'!V127=1))="",FALSE,IF(ISERROR('Model inputs'!V127=1),'Model inputs'!V127=1,IF('Model inputs'!V127="","",'Model inputs'!V127=1))),MAX(0,-'Model inputs'!V72),MAX(0,-'Model inputs'!V72,'Model inputs'!U91))</f>
        <v>#VALUE!</v>
      </c>
      <c r="W91" t="e" s="15">
        <f>IF(IF(IF(ISERROR('Model inputs'!W127=1),'Model inputs'!W127=1,IF('Model inputs'!W127="","",'Model inputs'!W127=1))="",FALSE,IF(ISERROR('Model inputs'!W127=1),'Model inputs'!W127=1,IF('Model inputs'!W127="","",'Model inputs'!W127=1))),MAX(0,-'Model inputs'!W72),MAX(0,-'Model inputs'!W72,'Model inputs'!V91))</f>
        <v>#VALUE!</v>
      </c>
    </row>
    <row r="92">
      <c r="A92" t="inlineStr" s="19">
        <is>
          <t xml:space="preserve">Paid standalone fixes · Pay per fix revenue · Upside · Upside</t>
        </is>
      </c>
      <c r="B92" s="20">
        <v>0</v>
      </c>
      <c r="C92" s="20">
        <f>'Monthly operating and hiring fo'!B8</f>
        <v>0</v>
      </c>
      <c r="D92" s="20">
        <f>'Monthly operating and hiring fo'!C8</f>
        <v>0</v>
      </c>
      <c r="E92" s="20">
        <f>'Monthly operating and hiring fo'!D8</f>
        <v>0</v>
      </c>
      <c r="F92" s="20">
        <f>'Monthly operating and hiring fo'!E8</f>
        <v>0</v>
      </c>
      <c r="G92" s="20">
        <f>'Monthly operating and hiring fo'!F8</f>
        <v>0</v>
      </c>
      <c r="H92" s="20">
        <f>'Monthly operating and hiring fo'!G8</f>
        <v>0</v>
      </c>
      <c r="I92" s="20">
        <f>'Monthly operating and hiring fo'!H8</f>
        <v>0</v>
      </c>
      <c r="J92" s="20">
        <f>'Monthly operating and hiring fo'!I8</f>
        <v>0</v>
      </c>
      <c r="K92" s="20">
        <f>'Monthly operating and hiring fo'!J8</f>
        <v>0</v>
      </c>
      <c r="L92" s="20">
        <f>'Monthly operating and hiring fo'!K8</f>
        <v>0</v>
      </c>
      <c r="M92" s="20">
        <f>'Monthly operating and hiring fo'!L8</f>
        <v>0</v>
      </c>
      <c r="N92" s="20">
        <f>'Monthly operating and hiring fo'!M8</f>
        <v>0</v>
      </c>
    </row>
    <row r="93">
      <c r="A93" t="inlineStr" s="19">
        <is>
          <t xml:space="preserve">Paid standalone fixes · Pay per fix revenue · Downside · Downside</t>
        </is>
      </c>
      <c r="B93" s="20">
        <v>0</v>
      </c>
      <c r="C93" s="20">
        <f>'Monthly operating and hiring fo'!B8</f>
        <v>0</v>
      </c>
      <c r="D93" s="20">
        <f>'Monthly operating and hiring fo'!C8</f>
        <v>0</v>
      </c>
      <c r="E93" s="20">
        <f>'Monthly operating and hiring fo'!D8</f>
        <v>0</v>
      </c>
      <c r="F93" s="20">
        <f>'Monthly operating and hiring fo'!E8</f>
        <v>0</v>
      </c>
      <c r="G93" s="20">
        <f>'Monthly operating and hiring fo'!F8</f>
        <v>0</v>
      </c>
      <c r="H93" s="20">
        <f>'Monthly operating and hiring fo'!G8</f>
        <v>0</v>
      </c>
      <c r="I93" s="20">
        <f>'Monthly operating and hiring fo'!H8</f>
        <v>0</v>
      </c>
      <c r="J93" s="20">
        <f>'Monthly operating and hiring fo'!I8</f>
        <v>0</v>
      </c>
      <c r="K93" s="20">
        <f>'Monthly operating and hiring fo'!J8</f>
        <v>0</v>
      </c>
      <c r="L93" s="20">
        <f>'Monthly operating and hiring fo'!K8</f>
        <v>0</v>
      </c>
      <c r="M93" s="20">
        <f>'Monthly operating and hiring fo'!L8</f>
        <v>0</v>
      </c>
      <c r="N93" s="20">
        <f>'Monthly operating and hiring fo'!M8</f>
        <v>0</v>
      </c>
    </row>
    <row r="94">
      <c r="A94" t="inlineStr" s="19">
        <is>
          <t xml:space="preserve">Pay per fix price · Pay per fix revenue · Upside · Upside</t>
        </is>
      </c>
      <c r="O94" s="8">
        <f>'Pricing and operating assumptio'!B8</f>
        <v>49</v>
      </c>
    </row>
    <row r="95">
      <c r="A95" t="inlineStr" s="19">
        <is>
          <t xml:space="preserve">Pay per fix price · Pay per fix revenue · Downside · Downside</t>
        </is>
      </c>
      <c r="O95" s="8">
        <f>'Pricing and operating assumptio'!B8</f>
        <v>49</v>
      </c>
    </row>
    <row r="96">
      <c r="A96" t="inlineStr" s="19">
        <is>
          <t xml:space="preserve">Paying teams · Upside</t>
        </is>
      </c>
      <c r="B96" s="8">
        <v>0</v>
      </c>
      <c r="C96" s="8">
        <f>'Scenario comparison'!C5</f>
        <v>1</v>
      </c>
      <c r="D96" s="8">
        <f>'Scenario comparison'!F5</f>
        <v>2</v>
      </c>
      <c r="E96" s="8">
        <f>'Scenario comparison'!I5</f>
        <v>4</v>
      </c>
      <c r="F96" s="8">
        <f>'Scenario comparison'!L5</f>
        <v>6</v>
      </c>
      <c r="G96" s="8">
        <f>'Scenario comparison'!O5</f>
        <v>9</v>
      </c>
      <c r="H96" s="8">
        <f>'Scenario comparison'!R5</f>
        <v>12</v>
      </c>
      <c r="I96" s="8">
        <f>'Scenario comparison'!U5</f>
        <v>17</v>
      </c>
      <c r="J96" s="8">
        <f>'Scenario comparison'!X5</f>
        <v>23</v>
      </c>
      <c r="K96" s="8">
        <f>'Scenario comparison'!AA5</f>
        <v>30</v>
      </c>
      <c r="L96" s="8">
        <f>'Scenario comparison'!AD5</f>
        <v>40</v>
      </c>
      <c r="M96" s="8">
        <f>'Scenario comparison'!AG5</f>
        <v>50</v>
      </c>
      <c r="N96" s="8">
        <f>'Scenario comparison'!AJ5</f>
        <v>60</v>
      </c>
    </row>
    <row r="97">
      <c r="A97" t="inlineStr" s="19">
        <is>
          <t xml:space="preserve">Paying teams · Downside</t>
        </is>
      </c>
      <c r="B97" s="8">
        <v>0</v>
      </c>
      <c r="C97" s="8">
        <f>'Monthly operating and hiring fo'!B5</f>
        <v>0</v>
      </c>
      <c r="D97" s="8">
        <f>'Scenario comparison'!G5</f>
        <v>0</v>
      </c>
      <c r="E97" s="8">
        <f>'Scenario comparison'!J5</f>
        <v>1</v>
      </c>
      <c r="F97" s="8">
        <f>'Scenario comparison'!M5</f>
        <v>1</v>
      </c>
      <c r="G97" s="8">
        <f>'Scenario comparison'!P5</f>
        <v>2</v>
      </c>
      <c r="H97" s="8">
        <f>'Scenario comparison'!S5</f>
        <v>2</v>
      </c>
      <c r="I97" s="8">
        <f>'Scenario comparison'!V5</f>
        <v>3</v>
      </c>
      <c r="J97" s="8">
        <f>'Scenario comparison'!Y5</f>
        <v>4</v>
      </c>
      <c r="K97" s="8">
        <f>'Scenario comparison'!AB5</f>
        <v>5</v>
      </c>
      <c r="L97" s="8">
        <f>'Scenario comparison'!AE5</f>
        <v>7</v>
      </c>
      <c r="M97" s="8">
        <f>'Scenario comparison'!AH5</f>
        <v>9</v>
      </c>
      <c r="N97" s="8">
        <f>'Scenario comparison'!AK5</f>
        <v>12</v>
      </c>
    </row>
    <row r="98">
      <c r="A98" t="inlineStr" s="19">
        <is>
          <t xml:space="preserve">Team monthly price · Team subscription revenue · Upside · Upside</t>
        </is>
      </c>
      <c r="O98" s="8">
        <f>'Pricing and operating assumptio'!B5</f>
        <v>199</v>
      </c>
    </row>
    <row r="99">
      <c r="A99" t="inlineStr" s="19">
        <is>
          <t xml:space="preserve">Team monthly price · Team subscription revenue · Downside · Downside</t>
        </is>
      </c>
      <c r="O99" s="8">
        <f>'Pricing and operating assumptio'!B5</f>
        <v>199</v>
      </c>
    </row>
    <row r="100">
      <c r="A100" t="inlineStr" s="19">
        <is>
          <t xml:space="preserve">Cash flow before hire · Cumulative cash if hired at earliest month · Main Scenario</t>
        </is>
      </c>
      <c r="B100" t="e" s="20">
        <f>IF('Model inputs'!B6="","",'Model inputs'!B6)</f>
        <v>#VALUE!</v>
      </c>
      <c r="C100" s="20">
        <f>IF('Model inputs'!C6="","",'Model inputs'!C6)</f>
        <v>-154.5</v>
      </c>
      <c r="D100" s="20">
        <f>IF('Model inputs'!D6="","",'Model inputs'!D6)</f>
        <v>25</v>
      </c>
      <c r="E100" s="20">
        <f>IF('Model inputs'!E6="","",'Model inputs'!E6)</f>
        <v>203</v>
      </c>
      <c r="F100" s="20">
        <f>IF('Model inputs'!F6="","",'Model inputs'!F6)</f>
        <v>387</v>
      </c>
      <c r="G100" s="20">
        <f>IF('Model inputs'!G6="","",'Model inputs'!G6)</f>
        <v>571</v>
      </c>
      <c r="H100" s="20">
        <f>IF('Model inputs'!H6="","",'Model inputs'!H6)</f>
        <v>755</v>
      </c>
      <c r="I100" s="20">
        <f>IF('Model inputs'!I6="","",'Model inputs'!I6)</f>
        <v>-2693</v>
      </c>
      <c r="J100" s="20">
        <f>IF('Model inputs'!J6="","",'Model inputs'!J6)</f>
        <v>-2141</v>
      </c>
      <c r="K100" s="20">
        <f>IF('Model inputs'!K6="","",'Model inputs'!K6)</f>
        <v>-1405</v>
      </c>
      <c r="L100" s="20">
        <f>IF('Model inputs'!L6="","",'Model inputs'!L6)</f>
        <v>-485</v>
      </c>
      <c r="M100" s="20">
        <f>IF('Model inputs'!M6="","",'Model inputs'!M6)</f>
        <v>435</v>
      </c>
      <c r="N100" s="20">
        <f>IF('Model inputs'!N6="","",'Model inputs'!N6)</f>
        <v>1355</v>
      </c>
      <c r="P100" t="e" s="20">
        <f>'Model inputs'!P142-'Model inputs'!P139-'Model inputs'!P135-'Model inputs'!P136</f>
        <v>#VALUE!</v>
      </c>
      <c r="Q100" t="e" s="20">
        <f>'Model inputs'!Q142-'Model inputs'!Q139-'Model inputs'!Q135-'Model inputs'!Q136</f>
        <v>#VALUE!</v>
      </c>
      <c r="R100" t="e" s="20">
        <f>'Model inputs'!R142-'Model inputs'!R139-'Model inputs'!R135-'Model inputs'!R136</f>
        <v>#VALUE!</v>
      </c>
      <c r="S100" t="e" s="20">
        <f>'Model inputs'!S142-'Model inputs'!S139-'Model inputs'!S135-'Model inputs'!S136</f>
        <v>#VALUE!</v>
      </c>
      <c r="T100" t="e" s="20">
        <f>'Model inputs'!T142-'Model inputs'!T139-'Model inputs'!T135-'Model inputs'!T136</f>
        <v>#VALUE!</v>
      </c>
      <c r="U100" t="e" s="20">
        <f>'Model inputs'!U142-'Model inputs'!U139-'Model inputs'!U135-'Model inputs'!U136</f>
        <v>#VALUE!</v>
      </c>
      <c r="V100" t="e" s="20">
        <f>'Model inputs'!V142-'Model inputs'!V139-'Model inputs'!V135-'Model inputs'!V136</f>
        <v>#VALUE!</v>
      </c>
      <c r="W100" t="e" s="20">
        <f>'Model inputs'!W142-'Model inputs'!W139-'Model inputs'!W135-'Model inputs'!W136</f>
        <v>#VALUE!</v>
      </c>
    </row>
    <row r="101">
      <c r="A101" t="inlineStr" s="19">
        <is>
          <t xml:space="preserve">Cash flow before hire · Cumulative operating cash · Upside · Upside</t>
        </is>
      </c>
      <c r="B101" t="e" s="20">
        <f>IF('Model inputs'!B7="","",'Model inputs'!B7)</f>
        <v>#VALUE!</v>
      </c>
      <c r="C101" s="20">
        <f>IF('Model inputs'!C7="","",'Model inputs'!C7)</f>
        <v>29.5</v>
      </c>
      <c r="D101" s="20">
        <f>IF('Model inputs'!D7="","",'Model inputs'!D7)</f>
        <v>209</v>
      </c>
      <c r="E101" s="20">
        <f>IF('Model inputs'!E7="","",'Model inputs'!E7)</f>
        <v>571</v>
      </c>
      <c r="F101" s="20">
        <f>IF('Model inputs'!F7="","",'Model inputs'!F7)</f>
        <v>939</v>
      </c>
      <c r="G101" s="20">
        <f>IF('Model inputs'!G7="","",'Model inputs'!G7)</f>
        <v>1491</v>
      </c>
      <c r="H101" s="20">
        <f>IF('Model inputs'!H7="","",'Model inputs'!H7)</f>
        <v>2043</v>
      </c>
      <c r="I101" s="20">
        <f>IF('Model inputs'!I7="","",'Model inputs'!I7)</f>
        <v>-1037</v>
      </c>
      <c r="J101" s="20">
        <f>IF('Model inputs'!J7="","",'Model inputs'!J7)</f>
        <v>67</v>
      </c>
      <c r="K101" s="20">
        <f>IF('Model inputs'!K7="","",'Model inputs'!K7)</f>
        <v>1355</v>
      </c>
      <c r="L101" s="20">
        <f>IF('Model inputs'!L7="","",'Model inputs'!L7)</f>
        <v>3195</v>
      </c>
      <c r="M101" s="20">
        <f>IF('Model inputs'!M7="","",'Model inputs'!M7)</f>
        <v>5035</v>
      </c>
      <c r="N101" s="20">
        <f>IF('Model inputs'!N7="","",'Model inputs'!N7)</f>
        <v>6875</v>
      </c>
      <c r="P101" t="e" s="20">
        <f>'Model inputs'!P87-'Model inputs'!P84-'Model inputs'!P80-'Model inputs'!P82</f>
        <v>#VALUE!</v>
      </c>
      <c r="Q101" t="e" s="20">
        <f>'Model inputs'!Q87-'Model inputs'!Q84-'Model inputs'!Q80-'Model inputs'!Q82</f>
        <v>#VALUE!</v>
      </c>
      <c r="R101" t="e" s="20">
        <f>'Model inputs'!R87-'Model inputs'!R84-'Model inputs'!R80-'Model inputs'!R82</f>
        <v>#VALUE!</v>
      </c>
      <c r="S101" t="e" s="20">
        <f>'Model inputs'!S87-'Model inputs'!S84-'Model inputs'!S80-'Model inputs'!S82</f>
        <v>#VALUE!</v>
      </c>
      <c r="T101" t="e" s="20">
        <f>'Model inputs'!T87-'Model inputs'!T84-'Model inputs'!T80-'Model inputs'!T82</f>
        <v>#VALUE!</v>
      </c>
      <c r="U101" t="e" s="20">
        <f>'Model inputs'!U87-'Model inputs'!U84-'Model inputs'!U80-'Model inputs'!U82</f>
        <v>#VALUE!</v>
      </c>
      <c r="V101" t="e" s="20">
        <f>'Model inputs'!V87-'Model inputs'!V84-'Model inputs'!V80-'Model inputs'!V82</f>
        <v>#VALUE!</v>
      </c>
      <c r="W101" t="e" s="20">
        <f>'Model inputs'!W87-'Model inputs'!W84-'Model inputs'!W80-'Model inputs'!W82</f>
        <v>#VALUE!</v>
      </c>
    </row>
    <row r="102">
      <c r="A102" t="inlineStr" s="19">
        <is>
          <t xml:space="preserve">Cash flow before hire · Cumulative operating cash · Downside · Downside</t>
        </is>
      </c>
      <c r="B102" t="e" s="20">
        <f>IF('Model inputs'!B8="","",'Model inputs'!B8)</f>
        <v>#VALUE!</v>
      </c>
      <c r="C102" s="20">
        <f>IF('Model inputs'!C8="","",'Model inputs'!C8)</f>
        <v>-154.5</v>
      </c>
      <c r="D102" s="20">
        <f>IF('Model inputs'!D8="","",'Model inputs'!D8)</f>
        <v>-159</v>
      </c>
      <c r="E102" s="20">
        <f>IF('Model inputs'!E8="","",'Model inputs'!E8)</f>
        <v>19</v>
      </c>
      <c r="F102" s="20">
        <f>IF('Model inputs'!F8="","",'Model inputs'!F8)</f>
        <v>19</v>
      </c>
      <c r="G102" s="20">
        <f>IF('Model inputs'!G8="","",'Model inputs'!G8)</f>
        <v>203</v>
      </c>
      <c r="H102" s="20">
        <f>IF('Model inputs'!H8="","",'Model inputs'!H8)</f>
        <v>203</v>
      </c>
      <c r="I102" s="20">
        <f>IF('Model inputs'!I8="","",'Model inputs'!I8)</f>
        <v>-3613</v>
      </c>
      <c r="J102" s="20">
        <f>IF('Model inputs'!J8="","",'Model inputs'!J8)</f>
        <v>-3429</v>
      </c>
      <c r="K102" s="20">
        <f>IF('Model inputs'!K8="","",'Model inputs'!K8)</f>
        <v>-3245</v>
      </c>
      <c r="L102" s="20">
        <f>IF('Model inputs'!L8="","",'Model inputs'!L8)</f>
        <v>-2877</v>
      </c>
      <c r="M102" s="20">
        <f>IF('Model inputs'!M8="","",'Model inputs'!M8)</f>
        <v>-2509</v>
      </c>
      <c r="N102" s="20">
        <f>IF('Model inputs'!N8="","",'Model inputs'!N8)</f>
        <v>-1957</v>
      </c>
      <c r="P102" t="e" s="20">
        <f>'Model inputs'!P88-'Model inputs'!P85-'Model inputs'!P81-'Model inputs'!P83</f>
        <v>#VALUE!</v>
      </c>
      <c r="Q102" t="e" s="20">
        <f>'Model inputs'!Q88-'Model inputs'!Q85-'Model inputs'!Q81-'Model inputs'!Q83</f>
        <v>#VALUE!</v>
      </c>
      <c r="R102" t="e" s="20">
        <f>'Model inputs'!R88-'Model inputs'!R85-'Model inputs'!R81-'Model inputs'!R83</f>
        <v>#VALUE!</v>
      </c>
      <c r="S102" t="e" s="20">
        <f>'Model inputs'!S88-'Model inputs'!S85-'Model inputs'!S81-'Model inputs'!S83</f>
        <v>#VALUE!</v>
      </c>
      <c r="T102" t="e" s="20">
        <f>'Model inputs'!T88-'Model inputs'!T85-'Model inputs'!T81-'Model inputs'!T83</f>
        <v>#VALUE!</v>
      </c>
      <c r="U102" t="e" s="20">
        <f>'Model inputs'!U88-'Model inputs'!U85-'Model inputs'!U81-'Model inputs'!U83</f>
        <v>#VALUE!</v>
      </c>
      <c r="V102" t="e" s="20">
        <f>'Model inputs'!V88-'Model inputs'!V85-'Model inputs'!V81-'Model inputs'!V83</f>
        <v>#VALUE!</v>
      </c>
      <c r="W102" t="e" s="20">
        <f>'Model inputs'!W88-'Model inputs'!W85-'Model inputs'!W81-'Model inputs'!W83</f>
        <v>#VALUE!</v>
      </c>
    </row>
    <row r="103">
      <c r="A103" t="inlineStr" s="19">
        <is>
          <t xml:space="preserve">Cash flow if hired at earliest month · Cumulative cash if hired at earliest month</t>
        </is>
      </c>
      <c r="B103" t="e" s="20">
        <f>IF('Model inputs'!B9="","",'Model inputs'!B9)</f>
        <v>#VALUE!</v>
      </c>
      <c r="C103" s="20">
        <f>IF('Model inputs'!C9="","",'Model inputs'!C9)</f>
        <v>-154.5</v>
      </c>
      <c r="D103" s="20">
        <f>IF('Model inputs'!D9="","",'Model inputs'!D9)</f>
        <v>25</v>
      </c>
      <c r="E103" s="20">
        <f>IF('Model inputs'!E9="","",'Model inputs'!E9)</f>
        <v>203</v>
      </c>
      <c r="F103" s="20">
        <f>IF('Model inputs'!F9="","",'Model inputs'!F9)</f>
        <v>387</v>
      </c>
      <c r="G103" s="20">
        <f>IF('Model inputs'!G9="","",'Model inputs'!G9)</f>
        <v>571</v>
      </c>
      <c r="H103" s="20">
        <f>IF('Model inputs'!H9="","",'Model inputs'!H9)</f>
        <v>755</v>
      </c>
      <c r="I103" s="20">
        <f>IF('Model inputs'!I9="","",'Model inputs'!I9)</f>
        <v>-2693</v>
      </c>
      <c r="J103" s="20">
        <f>IF('Model inputs'!J9="","",'Model inputs'!J9)</f>
        <v>-2141</v>
      </c>
      <c r="K103" s="20">
        <f>IF('Model inputs'!K9="","",'Model inputs'!K9)</f>
        <v>-1405</v>
      </c>
      <c r="L103" s="20">
        <f>IF('Model inputs'!L9="","",'Model inputs'!L9)</f>
        <v>-6485</v>
      </c>
      <c r="M103" s="20">
        <f>IF('Model inputs'!M9="","",'Model inputs'!M9)</f>
        <v>-5565</v>
      </c>
      <c r="N103" s="20">
        <f>IF('Model inputs'!N9="","",'Model inputs'!N9)</f>
        <v>-4645</v>
      </c>
      <c r="P103" t="e" s="20">
        <f>'Model inputs'!P100-IF(IF(IF(IF(ISERROR('Model inputs'!P125&gt;='Model inputs'!O18),'Model inputs'!P125&gt;='Model inputs'!O18,IF(OR('Model inputs'!P125="",'Model inputs'!O18=""),"",'Model inputs'!P125&gt;='Model inputs'!O18))="",FALSE,IF(ISERROR('Model inputs'!P125&gt;='Model inputs'!O18),'Model inputs'!P125&gt;='Model inputs'!O18,IF(OR('Model inputs'!P125="",'Model inputs'!O18=""),"",'Model inputs'!P125&gt;='Model inputs'!O18))),IF('Model inputs'!O10="","",'Model inputs'!O10),0)="",0,IF(IF(IF(ISERROR('Model inputs'!P125&gt;='Model inputs'!O18),'Model inputs'!P125&gt;='Model inputs'!O18,IF(OR('Model inputs'!P125="",'Model inputs'!O18=""),"",'Model inputs'!P125&gt;='Model inputs'!O18))="",FALSE,IF(ISERROR('Model inputs'!P125&gt;='Model inputs'!O18),'Model inputs'!P125&gt;='Model inputs'!O18,IF(OR('Model inputs'!P125="",'Model inputs'!O18=""),"",'Model inputs'!P125&gt;='Model inputs'!O18))),IF('Model inputs'!O10="","",'Model inputs'!O10),0))</f>
        <v>#VALUE!</v>
      </c>
      <c r="Q103" t="e" s="20">
        <f>'Model inputs'!Q100-IF(IF(IF(IF(ISERROR('Model inputs'!Q125&gt;='Model inputs'!O18),'Model inputs'!Q125&gt;='Model inputs'!O18,IF(OR('Model inputs'!Q125="",'Model inputs'!O18=""),"",'Model inputs'!Q125&gt;='Model inputs'!O18))="",FALSE,IF(ISERROR('Model inputs'!Q125&gt;='Model inputs'!O18),'Model inputs'!Q125&gt;='Model inputs'!O18,IF(OR('Model inputs'!Q125="",'Model inputs'!O18=""),"",'Model inputs'!Q125&gt;='Model inputs'!O18))),IF('Model inputs'!O10="","",'Model inputs'!O10),0)="",0,IF(IF(IF(ISERROR('Model inputs'!Q125&gt;='Model inputs'!O18),'Model inputs'!Q125&gt;='Model inputs'!O18,IF(OR('Model inputs'!Q125="",'Model inputs'!O18=""),"",'Model inputs'!Q125&gt;='Model inputs'!O18))="",FALSE,IF(ISERROR('Model inputs'!Q125&gt;='Model inputs'!O18),'Model inputs'!Q125&gt;='Model inputs'!O18,IF(OR('Model inputs'!Q125="",'Model inputs'!O18=""),"",'Model inputs'!Q125&gt;='Model inputs'!O18))),IF('Model inputs'!O10="","",'Model inputs'!O10),0))</f>
        <v>#VALUE!</v>
      </c>
      <c r="R103" t="e" s="20">
        <f>'Model inputs'!R100-IF(IF(IF(IF(ISERROR('Model inputs'!R125&gt;='Model inputs'!O18),'Model inputs'!R125&gt;='Model inputs'!O18,IF(OR('Model inputs'!R125="",'Model inputs'!O18=""),"",'Model inputs'!R125&gt;='Model inputs'!O18))="",FALSE,IF(ISERROR('Model inputs'!R125&gt;='Model inputs'!O18),'Model inputs'!R125&gt;='Model inputs'!O18,IF(OR('Model inputs'!R125="",'Model inputs'!O18=""),"",'Model inputs'!R125&gt;='Model inputs'!O18))),IF('Model inputs'!O10="","",'Model inputs'!O10),0)="",0,IF(IF(IF(ISERROR('Model inputs'!R125&gt;='Model inputs'!O18),'Model inputs'!R125&gt;='Model inputs'!O18,IF(OR('Model inputs'!R125="",'Model inputs'!O18=""),"",'Model inputs'!R125&gt;='Model inputs'!O18))="",FALSE,IF(ISERROR('Model inputs'!R125&gt;='Model inputs'!O18),'Model inputs'!R125&gt;='Model inputs'!O18,IF(OR('Model inputs'!R125="",'Model inputs'!O18=""),"",'Model inputs'!R125&gt;='Model inputs'!O18))),IF('Model inputs'!O10="","",'Model inputs'!O10),0))</f>
        <v>#VALUE!</v>
      </c>
      <c r="S103" t="e" s="20">
        <f>'Model inputs'!S100-IF(IF(IF(IF(ISERROR('Model inputs'!S125&gt;='Model inputs'!O18),'Model inputs'!S125&gt;='Model inputs'!O18,IF(OR('Model inputs'!S125="",'Model inputs'!O18=""),"",'Model inputs'!S125&gt;='Model inputs'!O18))="",FALSE,IF(ISERROR('Model inputs'!S125&gt;='Model inputs'!O18),'Model inputs'!S125&gt;='Model inputs'!O18,IF(OR('Model inputs'!S125="",'Model inputs'!O18=""),"",'Model inputs'!S125&gt;='Model inputs'!O18))),IF('Model inputs'!O10="","",'Model inputs'!O10),0)="",0,IF(IF(IF(ISERROR('Model inputs'!S125&gt;='Model inputs'!O18),'Model inputs'!S125&gt;='Model inputs'!O18,IF(OR('Model inputs'!S125="",'Model inputs'!O18=""),"",'Model inputs'!S125&gt;='Model inputs'!O18))="",FALSE,IF(ISERROR('Model inputs'!S125&gt;='Model inputs'!O18),'Model inputs'!S125&gt;='Model inputs'!O18,IF(OR('Model inputs'!S125="",'Model inputs'!O18=""),"",'Model inputs'!S125&gt;='Model inputs'!O18))),IF('Model inputs'!O10="","",'Model inputs'!O10),0))</f>
        <v>#VALUE!</v>
      </c>
      <c r="T103" t="e" s="20">
        <f>'Model inputs'!T100-IF(IF(IF(IF(ISERROR('Model inputs'!T125&gt;='Model inputs'!O18),'Model inputs'!T125&gt;='Model inputs'!O18,IF(OR('Model inputs'!T125="",'Model inputs'!O18=""),"",'Model inputs'!T125&gt;='Model inputs'!O18))="",FALSE,IF(ISERROR('Model inputs'!T125&gt;='Model inputs'!O18),'Model inputs'!T125&gt;='Model inputs'!O18,IF(OR('Model inputs'!T125="",'Model inputs'!O18=""),"",'Model inputs'!T125&gt;='Model inputs'!O18))),IF('Model inputs'!O10="","",'Model inputs'!O10),0)="",0,IF(IF(IF(ISERROR('Model inputs'!T125&gt;='Model inputs'!O18),'Model inputs'!T125&gt;='Model inputs'!O18,IF(OR('Model inputs'!T125="",'Model inputs'!O18=""),"",'Model inputs'!T125&gt;='Model inputs'!O18))="",FALSE,IF(ISERROR('Model inputs'!T125&gt;='Model inputs'!O18),'Model inputs'!T125&gt;='Model inputs'!O18,IF(OR('Model inputs'!T125="",'Model inputs'!O18=""),"",'Model inputs'!T125&gt;='Model inputs'!O18))),IF('Model inputs'!O10="","",'Model inputs'!O10),0))</f>
        <v>#VALUE!</v>
      </c>
      <c r="U103" t="e" s="20">
        <f>'Model inputs'!U100-IF(IF(IF(IF(ISERROR('Model inputs'!U125&gt;='Model inputs'!O18),'Model inputs'!U125&gt;='Model inputs'!O18,IF(OR('Model inputs'!U125="",'Model inputs'!O18=""),"",'Model inputs'!U125&gt;='Model inputs'!O18))="",FALSE,IF(ISERROR('Model inputs'!U125&gt;='Model inputs'!O18),'Model inputs'!U125&gt;='Model inputs'!O18,IF(OR('Model inputs'!U125="",'Model inputs'!O18=""),"",'Model inputs'!U125&gt;='Model inputs'!O18))),IF('Model inputs'!O10="","",'Model inputs'!O10),0)="",0,IF(IF(IF(ISERROR('Model inputs'!U125&gt;='Model inputs'!O18),'Model inputs'!U125&gt;='Model inputs'!O18,IF(OR('Model inputs'!U125="",'Model inputs'!O18=""),"",'Model inputs'!U125&gt;='Model inputs'!O18))="",FALSE,IF(ISERROR('Model inputs'!U125&gt;='Model inputs'!O18),'Model inputs'!U125&gt;='Model inputs'!O18,IF(OR('Model inputs'!U125="",'Model inputs'!O18=""),"",'Model inputs'!U125&gt;='Model inputs'!O18))),IF('Model inputs'!O10="","",'Model inputs'!O10),0))</f>
        <v>#VALUE!</v>
      </c>
      <c r="V103" t="e" s="20">
        <f>'Model inputs'!V100-IF(IF(IF(IF(ISERROR('Model inputs'!V125&gt;='Model inputs'!O18),'Model inputs'!V125&gt;='Model inputs'!O18,IF(OR('Model inputs'!V125="",'Model inputs'!O18=""),"",'Model inputs'!V125&gt;='Model inputs'!O18))="",FALSE,IF(ISERROR('Model inputs'!V125&gt;='Model inputs'!O18),'Model inputs'!V125&gt;='Model inputs'!O18,IF(OR('Model inputs'!V125="",'Model inputs'!O18=""),"",'Model inputs'!V125&gt;='Model inputs'!O18))),IF('Model inputs'!O10="","",'Model inputs'!O10),0)="",0,IF(IF(IF(ISERROR('Model inputs'!V125&gt;='Model inputs'!O18),'Model inputs'!V125&gt;='Model inputs'!O18,IF(OR('Model inputs'!V125="",'Model inputs'!O18=""),"",'Model inputs'!V125&gt;='Model inputs'!O18))="",FALSE,IF(ISERROR('Model inputs'!V125&gt;='Model inputs'!O18),'Model inputs'!V125&gt;='Model inputs'!O18,IF(OR('Model inputs'!V125="",'Model inputs'!O18=""),"",'Model inputs'!V125&gt;='Model inputs'!O18))),IF('Model inputs'!O10="","",'Model inputs'!O10),0))</f>
        <v>#VALUE!</v>
      </c>
      <c r="W103" t="e" s="20">
        <f>'Model inputs'!W100-IF(IF(IF(IF(ISERROR('Model inputs'!W125&gt;='Model inputs'!O18),'Model inputs'!W125&gt;='Model inputs'!O18,IF(OR('Model inputs'!W125="",'Model inputs'!O18=""),"",'Model inputs'!W125&gt;='Model inputs'!O18))="",FALSE,IF(ISERROR('Model inputs'!W125&gt;='Model inputs'!O18),'Model inputs'!W125&gt;='Model inputs'!O18,IF(OR('Model inputs'!W125="",'Model inputs'!O18=""),"",'Model inputs'!W125&gt;='Model inputs'!O18))),IF('Model inputs'!O10="","",'Model inputs'!O10),0)="",0,IF(IF(IF(ISERROR('Model inputs'!W125&gt;='Model inputs'!O18),'Model inputs'!W125&gt;='Model inputs'!O18,IF(OR('Model inputs'!W125="",'Model inputs'!O18=""),"",'Model inputs'!W125&gt;='Model inputs'!O18))="",FALSE,IF(ISERROR('Model inputs'!W125&gt;='Model inputs'!O18),'Model inputs'!W125&gt;='Model inputs'!O18,IF(OR('Model inputs'!W125="",'Model inputs'!O18=""),"",'Model inputs'!W125&gt;='Model inputs'!O18))),IF('Model inputs'!O10="","",'Model inputs'!O10),0))</f>
        <v>#VALUE!</v>
      </c>
    </row>
    <row r="104">
      <c r="A104" t="inlineStr" s="19">
        <is>
          <t xml:space="preserve">Cost per successful fix · Free project cost · Scenario comparison · Upside · Upside</t>
        </is>
      </c>
      <c r="O104" s="9">
        <f>'Pricing and operating assumptio'!B9</f>
        <v>1.5</v>
      </c>
    </row>
    <row r="105">
      <c r="A105" t="inlineStr" s="19">
        <is>
          <t xml:space="preserve">Cost per successful fix · Free project cost · Scenario comparison · Downside · Downside</t>
        </is>
      </c>
      <c r="O105" s="9">
        <f>'Pricing and operating assumptio'!B9</f>
        <v>1.5</v>
      </c>
    </row>
    <row r="106">
      <c r="A106" t="inlineStr" s="19">
        <is>
          <t xml:space="preserve">Extra fixes per team · Cumulative operating cash · Upside · Upside</t>
        </is>
      </c>
      <c r="B106" s="20">
        <v>0</v>
      </c>
      <c r="C106" s="20">
        <f>'Monthly operating and hiring fo'!B7</f>
        <v>0</v>
      </c>
      <c r="D106" s="20">
        <f>'Monthly operating and hiring fo'!C7</f>
        <v>0</v>
      </c>
      <c r="E106" s="20">
        <f>'Monthly operating and hiring fo'!D7</f>
        <v>0</v>
      </c>
      <c r="F106" s="20">
        <f>'Monthly operating and hiring fo'!E7</f>
        <v>0</v>
      </c>
      <c r="G106" s="20">
        <f>'Monthly operating and hiring fo'!F7</f>
        <v>0</v>
      </c>
      <c r="H106" s="20">
        <f>'Monthly operating and hiring fo'!G7</f>
        <v>0</v>
      </c>
      <c r="I106" s="20">
        <f>'Monthly operating and hiring fo'!H7</f>
        <v>0</v>
      </c>
      <c r="J106" s="20">
        <f>'Monthly operating and hiring fo'!I7</f>
        <v>0</v>
      </c>
      <c r="K106" s="20">
        <f>'Monthly operating and hiring fo'!J7</f>
        <v>0</v>
      </c>
      <c r="L106" s="20">
        <f>'Monthly operating and hiring fo'!K7</f>
        <v>0</v>
      </c>
      <c r="M106" s="20">
        <f>'Monthly operating and hiring fo'!L7</f>
        <v>0</v>
      </c>
      <c r="N106" s="20">
        <f>'Monthly operating and hiring fo'!M7</f>
        <v>0</v>
      </c>
      <c r="P106" s="20">
        <v>0</v>
      </c>
      <c r="Q106" s="20">
        <v>0</v>
      </c>
      <c r="R106" s="20">
        <v>0</v>
      </c>
      <c r="S106" s="20">
        <v>0</v>
      </c>
      <c r="T106" s="20">
        <v>0</v>
      </c>
      <c r="U106" s="20">
        <v>0</v>
      </c>
      <c r="V106" s="20">
        <v>0</v>
      </c>
      <c r="W106" s="20">
        <v>0</v>
      </c>
    </row>
    <row r="107">
      <c r="A107" t="inlineStr" s="19">
        <is>
          <t xml:space="preserve">Extra fixes per team · Cumulative operating cash · Downside · Downside</t>
        </is>
      </c>
      <c r="B107" s="20">
        <v>0</v>
      </c>
      <c r="C107" s="20">
        <f>'Monthly operating and hiring fo'!B7</f>
        <v>0</v>
      </c>
      <c r="D107" s="20">
        <f>'Monthly operating and hiring fo'!C7</f>
        <v>0</v>
      </c>
      <c r="E107" s="20">
        <f>'Monthly operating and hiring fo'!D7</f>
        <v>0</v>
      </c>
      <c r="F107" s="20">
        <f>'Monthly operating and hiring fo'!E7</f>
        <v>0</v>
      </c>
      <c r="G107" s="20">
        <f>'Monthly operating and hiring fo'!F7</f>
        <v>0</v>
      </c>
      <c r="H107" s="20">
        <f>'Monthly operating and hiring fo'!G7</f>
        <v>0</v>
      </c>
      <c r="I107" s="20">
        <f>'Monthly operating and hiring fo'!H7</f>
        <v>0</v>
      </c>
      <c r="J107" s="20">
        <f>'Monthly operating and hiring fo'!I7</f>
        <v>0</v>
      </c>
      <c r="K107" s="20">
        <f>'Monthly operating and hiring fo'!J7</f>
        <v>0</v>
      </c>
      <c r="L107" s="20">
        <f>'Monthly operating and hiring fo'!K7</f>
        <v>0</v>
      </c>
      <c r="M107" s="20">
        <f>'Monthly operating and hiring fo'!L7</f>
        <v>0</v>
      </c>
      <c r="N107" s="20">
        <f>'Monthly operating and hiring fo'!M7</f>
        <v>0</v>
      </c>
      <c r="P107" s="20">
        <v>0</v>
      </c>
      <c r="Q107" s="20">
        <v>0</v>
      </c>
      <c r="R107" s="20">
        <v>0</v>
      </c>
      <c r="S107" s="20">
        <v>0</v>
      </c>
      <c r="T107" s="20">
        <v>0</v>
      </c>
      <c r="U107" s="20">
        <v>0</v>
      </c>
      <c r="V107" s="20">
        <v>0</v>
      </c>
      <c r="W107" s="20">
        <v>0</v>
      </c>
    </row>
    <row r="108">
      <c r="A108" t="inlineStr" s="19">
        <is>
          <t xml:space="preserve">Founder monthly pay · Founder pay · Scenario comparison · Upside · Upside</t>
        </is>
      </c>
      <c r="O108" s="20">
        <f>'Pricing and operating assumptio'!B13</f>
        <v>4000</v>
      </c>
    </row>
    <row r="109">
      <c r="A109" t="inlineStr" s="19">
        <is>
          <t xml:space="preserve">Founder monthly pay · Founder pay · Scenario comparison · Downside · Downside</t>
        </is>
      </c>
      <c r="O109" s="20">
        <f>'Pricing and operating assumptio'!B13</f>
        <v>4000</v>
      </c>
    </row>
    <row r="110">
      <c r="A110" t="inlineStr" s="19">
        <is>
          <t xml:space="preserve">Founder pay start month · Founder pay · Scenario comparison · Upside · Upside</t>
        </is>
      </c>
      <c r="O110" s="20">
        <f>'Pricing and operating assumptio'!B14</f>
        <v>7</v>
      </c>
    </row>
    <row r="111">
      <c r="A111" t="inlineStr" s="19">
        <is>
          <t xml:space="preserve">Founder pay start month · Founder pay · Scenario comparison · Downside · Downside</t>
        </is>
      </c>
      <c r="O111" s="20">
        <f>'Pricing and operating assumptio'!B14</f>
        <v>7</v>
      </c>
    </row>
    <row r="112">
      <c r="A112" t="inlineStr" s="19">
        <is>
          <t xml:space="preserve">Free successful fixes · Cumulative operating cash · Upside · Upside</t>
        </is>
      </c>
      <c r="B112" s="20">
        <f>'Model inputs'!B140*'Model inputs'!O137</f>
        <v>0</v>
      </c>
      <c r="C112" s="20">
        <f>'Model inputs'!C140*'Model inputs'!O137</f>
        <v>3</v>
      </c>
      <c r="D112" s="20">
        <f>'Model inputs'!D140*'Model inputs'!O137</f>
        <v>6</v>
      </c>
      <c r="E112" s="20">
        <f>'Model inputs'!E140*'Model inputs'!O137</f>
        <v>10</v>
      </c>
      <c r="F112" s="20">
        <f>'Model inputs'!F140*'Model inputs'!O137</f>
        <v>10</v>
      </c>
      <c r="G112" s="20">
        <f>'Model inputs'!G140*'Model inputs'!O137</f>
        <v>10</v>
      </c>
      <c r="H112" s="20">
        <f>'Model inputs'!H140*'Model inputs'!O137</f>
        <v>10</v>
      </c>
      <c r="I112" s="20">
        <f>'Model inputs'!I140*'Model inputs'!O137</f>
        <v>10</v>
      </c>
      <c r="J112" s="20">
        <f>'Model inputs'!J140*'Model inputs'!O137</f>
        <v>10</v>
      </c>
      <c r="K112" s="20">
        <f>'Model inputs'!K140*'Model inputs'!O137</f>
        <v>10</v>
      </c>
      <c r="L112" s="20">
        <f>'Model inputs'!L140*'Model inputs'!O137</f>
        <v>10</v>
      </c>
      <c r="M112" s="20">
        <f>'Model inputs'!M140*'Model inputs'!O137</f>
        <v>10</v>
      </c>
      <c r="N112" s="20">
        <f>'Model inputs'!N140*'Model inputs'!O137</f>
        <v>10</v>
      </c>
      <c r="P112" s="20">
        <f>'Model inputs'!P140*'Model inputs'!O137</f>
        <v>0</v>
      </c>
      <c r="Q112" s="20">
        <f>'Model inputs'!Q140*'Model inputs'!O137</f>
        <v>0</v>
      </c>
      <c r="R112" s="20">
        <f>'Model inputs'!R140*'Model inputs'!O137</f>
        <v>0</v>
      </c>
      <c r="S112" s="20">
        <f>'Model inputs'!S140*'Model inputs'!O137</f>
        <v>0</v>
      </c>
      <c r="T112" s="20">
        <f>'Model inputs'!T140*'Model inputs'!O137</f>
        <v>0</v>
      </c>
      <c r="U112" s="20">
        <f>'Model inputs'!U140*'Model inputs'!O137</f>
        <v>0</v>
      </c>
      <c r="V112" s="20">
        <f>'Model inputs'!V140*'Model inputs'!O137</f>
        <v>0</v>
      </c>
      <c r="W112" s="20">
        <f>'Model inputs'!W140*'Model inputs'!O137</f>
        <v>0</v>
      </c>
    </row>
    <row r="113">
      <c r="A113" t="inlineStr" s="19">
        <is>
          <t xml:space="preserve">Free successful fixes · Cumulative operating cash · Downside · Downside</t>
        </is>
      </c>
      <c r="B113" s="20">
        <f>'Model inputs'!B141*'Model inputs'!O138</f>
        <v>0</v>
      </c>
      <c r="C113" s="20">
        <f>'Model inputs'!C141*'Model inputs'!O138</f>
        <v>3</v>
      </c>
      <c r="D113" s="20">
        <f>'Model inputs'!D141*'Model inputs'!O138</f>
        <v>6</v>
      </c>
      <c r="E113" s="20">
        <f>'Model inputs'!E141*'Model inputs'!O138</f>
        <v>10</v>
      </c>
      <c r="F113" s="20">
        <f>'Model inputs'!F141*'Model inputs'!O138</f>
        <v>10</v>
      </c>
      <c r="G113" s="20">
        <f>'Model inputs'!G141*'Model inputs'!O138</f>
        <v>10</v>
      </c>
      <c r="H113" s="20">
        <f>'Model inputs'!H141*'Model inputs'!O138</f>
        <v>10</v>
      </c>
      <c r="I113" s="20">
        <f>'Model inputs'!I141*'Model inputs'!O138</f>
        <v>10</v>
      </c>
      <c r="J113" s="20">
        <f>'Model inputs'!J141*'Model inputs'!O138</f>
        <v>10</v>
      </c>
      <c r="K113" s="20">
        <f>'Model inputs'!K141*'Model inputs'!O138</f>
        <v>10</v>
      </c>
      <c r="L113" s="20">
        <f>'Model inputs'!L141*'Model inputs'!O138</f>
        <v>10</v>
      </c>
      <c r="M113" s="20">
        <f>'Model inputs'!M141*'Model inputs'!O138</f>
        <v>10</v>
      </c>
      <c r="N113" s="20">
        <f>'Model inputs'!N141*'Model inputs'!O138</f>
        <v>10</v>
      </c>
      <c r="P113" s="20">
        <f>'Model inputs'!P141*'Model inputs'!O138</f>
        <v>0</v>
      </c>
      <c r="Q113" s="20">
        <f>'Model inputs'!Q141*'Model inputs'!O138</f>
        <v>0</v>
      </c>
      <c r="R113" s="20">
        <f>'Model inputs'!R141*'Model inputs'!O138</f>
        <v>0</v>
      </c>
      <c r="S113" s="20">
        <f>'Model inputs'!S141*'Model inputs'!O138</f>
        <v>0</v>
      </c>
      <c r="T113" s="20">
        <f>'Model inputs'!T141*'Model inputs'!O138</f>
        <v>0</v>
      </c>
      <c r="U113" s="20">
        <f>'Model inputs'!U141*'Model inputs'!O138</f>
        <v>0</v>
      </c>
      <c r="V113" s="20">
        <f>'Model inputs'!V141*'Model inputs'!O138</f>
        <v>0</v>
      </c>
      <c r="W113" s="20">
        <f>'Model inputs'!W141*'Model inputs'!O138</f>
        <v>0</v>
      </c>
    </row>
    <row r="114">
      <c r="A114" t="inlineStr" s="19">
        <is>
          <t xml:space="preserve">Monthly hosting · Fixed overhead · Scenario comparison · Upside · Upside</t>
        </is>
      </c>
      <c r="O114" s="20">
        <f>'Pricing and operating assumptio'!B11</f>
        <v>50</v>
      </c>
    </row>
    <row r="115">
      <c r="A115" t="inlineStr" s="19">
        <is>
          <t xml:space="preserve">Monthly hosting · Fixed overhead · Scenario comparison · Downside · Downside</t>
        </is>
      </c>
      <c r="O115" s="20">
        <f>'Pricing and operating assumptio'!B11</f>
        <v>50</v>
      </c>
    </row>
    <row r="116">
      <c r="A116" t="inlineStr" s="19">
        <is>
          <t xml:space="preserve">Monthly tools · Fixed overhead · Scenario comparison · Upside · Upside</t>
        </is>
      </c>
      <c r="O116" s="20">
        <f>'Pricing and operating assumptio'!B12</f>
        <v>100</v>
      </c>
    </row>
    <row r="117">
      <c r="A117" t="inlineStr" s="19">
        <is>
          <t xml:space="preserve">Monthly tools · Fixed overhead · Scenario comparison · Downside · Downside</t>
        </is>
      </c>
      <c r="O117" s="20">
        <f>'Pricing and operating assumptio'!B12</f>
        <v>100</v>
      </c>
    </row>
    <row r="118">
      <c r="A118" t="inlineStr" s="19">
        <is>
          <t xml:space="preserve">Operating cash flow · Cumulative operating cash · Main Scenario · Main Scenario</t>
        </is>
      </c>
      <c r="B118" t="e" s="15">
        <f>IF('Model inputs'!B49="","",'Model inputs'!B49)</f>
        <v>#VALUE!</v>
      </c>
      <c r="C118" s="15">
        <f>IF('Model inputs'!C49="","",'Model inputs'!C49)</f>
        <v>-154.5</v>
      </c>
      <c r="D118" s="15">
        <f>IF('Model inputs'!D49="","",'Model inputs'!D49)</f>
        <v>25</v>
      </c>
      <c r="E118" s="15">
        <f>IF('Model inputs'!E49="","",'Model inputs'!E49)</f>
        <v>203</v>
      </c>
      <c r="F118" s="15">
        <f>IF('Model inputs'!F49="","",'Model inputs'!F49)</f>
        <v>387</v>
      </c>
      <c r="G118" s="15">
        <f>IF('Model inputs'!G49="","",'Model inputs'!G49)</f>
        <v>571</v>
      </c>
      <c r="H118" s="15">
        <f>IF('Model inputs'!H49="","",'Model inputs'!H49)</f>
        <v>755</v>
      </c>
      <c r="I118" s="15">
        <f>IF('Model inputs'!I49="","",'Model inputs'!I49)</f>
        <v>-2693</v>
      </c>
      <c r="J118" s="15">
        <f>IF('Model inputs'!J49="","",'Model inputs'!J49)</f>
        <v>-2141</v>
      </c>
      <c r="K118" s="15">
        <f>IF('Model inputs'!K49="","",'Model inputs'!K49)</f>
        <v>-1405</v>
      </c>
      <c r="L118" s="15">
        <f>IF('Model inputs'!L49="","",'Model inputs'!L49)</f>
        <v>-485</v>
      </c>
      <c r="M118" s="15">
        <f>IF('Model inputs'!M49="","",'Model inputs'!M49)</f>
        <v>435</v>
      </c>
      <c r="N118" s="15">
        <f>IF('Model inputs'!N49="","",'Model inputs'!N49)</f>
        <v>1355</v>
      </c>
      <c r="P118" t="e" s="15">
        <f>'Model inputs'!P100-'Model inputs'!P130</f>
        <v>#VALUE!</v>
      </c>
      <c r="Q118" t="e" s="15">
        <f>'Model inputs'!Q100-'Model inputs'!Q130</f>
        <v>#VALUE!</v>
      </c>
      <c r="R118" t="e" s="15">
        <f>'Model inputs'!R100-'Model inputs'!R130</f>
        <v>#VALUE!</v>
      </c>
      <c r="S118" t="e" s="15">
        <f>'Model inputs'!S100-'Model inputs'!S130</f>
        <v>#VALUE!</v>
      </c>
      <c r="T118" t="e" s="15">
        <f>'Model inputs'!T100-'Model inputs'!T130</f>
        <v>#VALUE!</v>
      </c>
      <c r="U118" t="e" s="15">
        <f>'Model inputs'!U100-'Model inputs'!U130</f>
        <v>#VALUE!</v>
      </c>
      <c r="V118" t="e" s="15">
        <f>'Model inputs'!V100-'Model inputs'!V130</f>
        <v>#VALUE!</v>
      </c>
      <c r="W118" t="e" s="15">
        <f>'Model inputs'!W100-'Model inputs'!W130</f>
        <v>#VALUE!</v>
      </c>
    </row>
    <row r="119">
      <c r="A119" t="inlineStr" s="19">
        <is>
          <t xml:space="preserve">Operating cash flow · Cumulative operating cash · Upside · Upside</t>
        </is>
      </c>
      <c r="B119" t="e" s="15">
        <f>IF('Model inputs'!B50="","",'Model inputs'!B50)</f>
        <v>#VALUE!</v>
      </c>
      <c r="C119" s="15">
        <f>IF('Model inputs'!C50="","",'Model inputs'!C50)</f>
        <v>29.5</v>
      </c>
      <c r="D119" s="15">
        <f>IF('Model inputs'!D50="","",'Model inputs'!D50)</f>
        <v>209</v>
      </c>
      <c r="E119" s="15">
        <f>IF('Model inputs'!E50="","",'Model inputs'!E50)</f>
        <v>571</v>
      </c>
      <c r="F119" s="15">
        <f>IF('Model inputs'!F50="","",'Model inputs'!F50)</f>
        <v>939</v>
      </c>
      <c r="G119" s="15">
        <f>IF('Model inputs'!G50="","",'Model inputs'!G50)</f>
        <v>1491</v>
      </c>
      <c r="H119" s="15">
        <f>IF('Model inputs'!H50="","",'Model inputs'!H50)</f>
        <v>2043</v>
      </c>
      <c r="I119" s="15">
        <f>IF('Model inputs'!I50="","",'Model inputs'!I50)</f>
        <v>-1037</v>
      </c>
      <c r="J119" s="15">
        <f>IF('Model inputs'!J50="","",'Model inputs'!J50)</f>
        <v>67</v>
      </c>
      <c r="K119" s="15">
        <f>IF('Model inputs'!K50="","",'Model inputs'!K50)</f>
        <v>1355</v>
      </c>
      <c r="L119" s="15">
        <f>IF('Model inputs'!L50="","",'Model inputs'!L50)</f>
        <v>3195</v>
      </c>
      <c r="M119" s="15">
        <f>IF('Model inputs'!M50="","",'Model inputs'!M50)</f>
        <v>5035</v>
      </c>
      <c r="N119" s="15">
        <f>IF('Model inputs'!N50="","",'Model inputs'!N50)</f>
        <v>875</v>
      </c>
      <c r="P119" t="e" s="15">
        <f>'Model inputs'!P101-'Model inputs'!P131</f>
        <v>#VALUE!</v>
      </c>
      <c r="Q119" t="e" s="15">
        <f>'Model inputs'!Q101-'Model inputs'!Q131</f>
        <v>#VALUE!</v>
      </c>
      <c r="R119" t="e" s="15">
        <f>'Model inputs'!R101-'Model inputs'!R131</f>
        <v>#VALUE!</v>
      </c>
      <c r="S119" t="e" s="15">
        <f>'Model inputs'!S101-'Model inputs'!S131</f>
        <v>#VALUE!</v>
      </c>
      <c r="T119" t="e" s="15">
        <f>'Model inputs'!T101-'Model inputs'!T131</f>
        <v>#VALUE!</v>
      </c>
      <c r="U119" t="e" s="15">
        <f>'Model inputs'!U101-'Model inputs'!U131</f>
        <v>#VALUE!</v>
      </c>
      <c r="V119" t="e" s="15">
        <f>'Model inputs'!V101-'Model inputs'!V131</f>
        <v>#VALUE!</v>
      </c>
      <c r="W119" t="e" s="15">
        <f>'Model inputs'!W101-'Model inputs'!W131</f>
        <v>#VALUE!</v>
      </c>
    </row>
    <row r="120">
      <c r="A120" t="inlineStr" s="19">
        <is>
          <t xml:space="preserve">Operating cash flow · Cumulative operating cash · Downside · Downside</t>
        </is>
      </c>
      <c r="B120" t="e" s="15">
        <f>IF('Model inputs'!B51="","",'Model inputs'!B51)</f>
        <v>#VALUE!</v>
      </c>
      <c r="C120" s="15">
        <f>IF('Model inputs'!C51="","",'Model inputs'!C51)</f>
        <v>-154.5</v>
      </c>
      <c r="D120" s="15">
        <f>IF('Model inputs'!D51="","",'Model inputs'!D51)</f>
        <v>-159</v>
      </c>
      <c r="E120" s="15">
        <f>IF('Model inputs'!E51="","",'Model inputs'!E51)</f>
        <v>19</v>
      </c>
      <c r="F120" s="15">
        <f>IF('Model inputs'!F51="","",'Model inputs'!F51)</f>
        <v>19</v>
      </c>
      <c r="G120" s="15">
        <f>IF('Model inputs'!G51="","",'Model inputs'!G51)</f>
        <v>203</v>
      </c>
      <c r="H120" s="15">
        <f>IF('Model inputs'!H51="","",'Model inputs'!H51)</f>
        <v>203</v>
      </c>
      <c r="I120" s="15">
        <f>IF('Model inputs'!I51="","",'Model inputs'!I51)</f>
        <v>-3613</v>
      </c>
      <c r="J120" s="15">
        <f>IF('Model inputs'!J51="","",'Model inputs'!J51)</f>
        <v>-3429</v>
      </c>
      <c r="K120" s="15">
        <f>IF('Model inputs'!K51="","",'Model inputs'!K51)</f>
        <v>-3245</v>
      </c>
      <c r="L120" s="15">
        <f>IF('Model inputs'!L51="","",'Model inputs'!L51)</f>
        <v>-2877</v>
      </c>
      <c r="M120" s="15">
        <f>IF('Model inputs'!M51="","",'Model inputs'!M51)</f>
        <v>-2509</v>
      </c>
      <c r="N120" s="15">
        <f>IF('Model inputs'!N51="","",'Model inputs'!N51)</f>
        <v>-1957</v>
      </c>
      <c r="P120" t="e" s="15">
        <f>'Model inputs'!P102-'Model inputs'!P132</f>
        <v>#VALUE!</v>
      </c>
      <c r="Q120" t="e" s="15">
        <f>'Model inputs'!Q102-'Model inputs'!Q132</f>
        <v>#VALUE!</v>
      </c>
      <c r="R120" t="e" s="15">
        <f>'Model inputs'!R102-'Model inputs'!R132</f>
        <v>#VALUE!</v>
      </c>
      <c r="S120" t="e" s="15">
        <f>'Model inputs'!S102-'Model inputs'!S132</f>
        <v>#VALUE!</v>
      </c>
      <c r="T120" t="e" s="15">
        <f>'Model inputs'!T102-'Model inputs'!T132</f>
        <v>#VALUE!</v>
      </c>
      <c r="U120" t="e" s="15">
        <f>'Model inputs'!U102-'Model inputs'!U132</f>
        <v>#VALUE!</v>
      </c>
      <c r="V120" t="e" s="15">
        <f>'Model inputs'!V102-'Model inputs'!V132</f>
        <v>#VALUE!</v>
      </c>
      <c r="W120" t="e" s="15">
        <f>'Model inputs'!W102-'Model inputs'!W132</f>
        <v>#VALUE!</v>
      </c>
    </row>
    <row r="121">
      <c r="A121" t="inlineStr" s="19">
        <is>
          <t xml:space="preserve">Paid delivery cost · Cumulative operating cash · Upside · Upside</t>
        </is>
      </c>
      <c r="B121" s="20">
        <f>('Model inputs'!B149+'Model inputs'!B78+'Model inputs'!B92)*'Model inputs'!O104</f>
        <v>0</v>
      </c>
      <c r="C121" s="20">
        <f>('Model inputs'!C149+'Model inputs'!C78+'Model inputs'!C92)*'Model inputs'!O104</f>
        <v>15</v>
      </c>
      <c r="D121" s="20">
        <f>('Model inputs'!D149+'Model inputs'!D78+'Model inputs'!D92)*'Model inputs'!O104</f>
        <v>30</v>
      </c>
      <c r="E121" s="20">
        <f>('Model inputs'!E149+'Model inputs'!E78+'Model inputs'!E92)*'Model inputs'!O104</f>
        <v>60</v>
      </c>
      <c r="F121" s="20">
        <f>('Model inputs'!F149+'Model inputs'!F78+'Model inputs'!F92)*'Model inputs'!O104</f>
        <v>90</v>
      </c>
      <c r="G121" s="20">
        <f>('Model inputs'!G149+'Model inputs'!G78+'Model inputs'!G92)*'Model inputs'!O104</f>
        <v>135</v>
      </c>
      <c r="H121" s="20">
        <f>('Model inputs'!H149+'Model inputs'!H78+'Model inputs'!H92)*'Model inputs'!O104</f>
        <v>180</v>
      </c>
      <c r="I121" s="20">
        <f>('Model inputs'!I149+'Model inputs'!I78+'Model inputs'!I92)*'Model inputs'!O104</f>
        <v>255</v>
      </c>
      <c r="J121" s="20">
        <f>('Model inputs'!J149+'Model inputs'!J78+'Model inputs'!J92)*'Model inputs'!O104</f>
        <v>345</v>
      </c>
      <c r="K121" s="20">
        <f>('Model inputs'!K149+'Model inputs'!K78+'Model inputs'!K92)*'Model inputs'!O104</f>
        <v>450</v>
      </c>
      <c r="L121" s="20">
        <f>('Model inputs'!L149+'Model inputs'!L78+'Model inputs'!L92)*'Model inputs'!O104</f>
        <v>600</v>
      </c>
      <c r="M121" s="20">
        <f>('Model inputs'!M149+'Model inputs'!M78+'Model inputs'!M92)*'Model inputs'!O104</f>
        <v>750</v>
      </c>
      <c r="N121" s="20">
        <f>('Model inputs'!N149+'Model inputs'!N78+'Model inputs'!N92)*'Model inputs'!O104</f>
        <v>900</v>
      </c>
      <c r="P121" s="20">
        <f>('Model inputs'!P149+'Model inputs'!P78+'Model inputs'!P143)*'Model inputs'!O104</f>
        <v>0</v>
      </c>
      <c r="Q121" s="20">
        <f>('Model inputs'!Q149+'Model inputs'!Q78+'Model inputs'!Q143)*'Model inputs'!O104</f>
        <v>0</v>
      </c>
      <c r="R121" s="20">
        <f>('Model inputs'!R149+'Model inputs'!R78+'Model inputs'!R143)*'Model inputs'!O104</f>
        <v>0</v>
      </c>
      <c r="S121" s="20">
        <f>('Model inputs'!S149+'Model inputs'!S78+'Model inputs'!S143)*'Model inputs'!O104</f>
        <v>0</v>
      </c>
      <c r="T121" s="20">
        <f>('Model inputs'!T149+'Model inputs'!T78+'Model inputs'!T143)*'Model inputs'!O104</f>
        <v>0</v>
      </c>
      <c r="U121" s="20">
        <f>('Model inputs'!U149+'Model inputs'!U78+'Model inputs'!U143)*'Model inputs'!O104</f>
        <v>0</v>
      </c>
      <c r="V121" s="20">
        <f>('Model inputs'!V149+'Model inputs'!V78+'Model inputs'!V143)*'Model inputs'!O104</f>
        <v>0</v>
      </c>
      <c r="W121" s="20">
        <f>('Model inputs'!W149+'Model inputs'!W78+'Model inputs'!W143)*'Model inputs'!O104</f>
        <v>0</v>
      </c>
    </row>
    <row r="122">
      <c r="A122" t="inlineStr" s="19">
        <is>
          <t xml:space="preserve">Paid delivery cost · Cumulative operating cash · Downside · Downside</t>
        </is>
      </c>
      <c r="B122" s="20">
        <f>('Model inputs'!B150+'Model inputs'!B79+'Model inputs'!B93)*'Model inputs'!O105</f>
        <v>0</v>
      </c>
      <c r="C122" s="20">
        <f>('Model inputs'!C150+'Model inputs'!C79+'Model inputs'!C93)*'Model inputs'!O105</f>
        <v>0</v>
      </c>
      <c r="D122" s="20">
        <f>('Model inputs'!D150+'Model inputs'!D79+'Model inputs'!D93)*'Model inputs'!O105</f>
        <v>0</v>
      </c>
      <c r="E122" s="20">
        <f>('Model inputs'!E150+'Model inputs'!E79+'Model inputs'!E93)*'Model inputs'!O105</f>
        <v>15</v>
      </c>
      <c r="F122" s="20">
        <f>('Model inputs'!F150+'Model inputs'!F79+'Model inputs'!F93)*'Model inputs'!O105</f>
        <v>15</v>
      </c>
      <c r="G122" s="20">
        <f>('Model inputs'!G150+'Model inputs'!G79+'Model inputs'!G93)*'Model inputs'!O105</f>
        <v>30</v>
      </c>
      <c r="H122" s="20">
        <f>('Model inputs'!H150+'Model inputs'!H79+'Model inputs'!H93)*'Model inputs'!O105</f>
        <v>30</v>
      </c>
      <c r="I122" s="20">
        <f>('Model inputs'!I150+'Model inputs'!I79+'Model inputs'!I93)*'Model inputs'!O105</f>
        <v>45</v>
      </c>
      <c r="J122" s="20">
        <f>('Model inputs'!J150+'Model inputs'!J79+'Model inputs'!J93)*'Model inputs'!O105</f>
        <v>60</v>
      </c>
      <c r="K122" s="20">
        <f>('Model inputs'!K150+'Model inputs'!K79+'Model inputs'!K93)*'Model inputs'!O105</f>
        <v>75</v>
      </c>
      <c r="L122" s="20">
        <f>('Model inputs'!L150+'Model inputs'!L79+'Model inputs'!L93)*'Model inputs'!O105</f>
        <v>105</v>
      </c>
      <c r="M122" s="20">
        <f>('Model inputs'!M150+'Model inputs'!M79+'Model inputs'!M93)*'Model inputs'!O105</f>
        <v>135</v>
      </c>
      <c r="N122" s="20">
        <f>('Model inputs'!N150+'Model inputs'!N79+'Model inputs'!N93)*'Model inputs'!O105</f>
        <v>180</v>
      </c>
      <c r="P122" s="20">
        <f>('Model inputs'!P150+'Model inputs'!P79+'Model inputs'!P144)*'Model inputs'!O105</f>
        <v>0</v>
      </c>
      <c r="Q122" s="20">
        <f>('Model inputs'!Q150+'Model inputs'!Q79+'Model inputs'!Q144)*'Model inputs'!O105</f>
        <v>0</v>
      </c>
      <c r="R122" s="20">
        <f>('Model inputs'!R150+'Model inputs'!R79+'Model inputs'!R144)*'Model inputs'!O105</f>
        <v>0</v>
      </c>
      <c r="S122" s="20">
        <f>('Model inputs'!S150+'Model inputs'!S79+'Model inputs'!S144)*'Model inputs'!O105</f>
        <v>0</v>
      </c>
      <c r="T122" s="20">
        <f>('Model inputs'!T150+'Model inputs'!T79+'Model inputs'!T144)*'Model inputs'!O105</f>
        <v>0</v>
      </c>
      <c r="U122" s="20">
        <f>('Model inputs'!U150+'Model inputs'!U79+'Model inputs'!U144)*'Model inputs'!O105</f>
        <v>0</v>
      </c>
      <c r="V122" s="20">
        <f>('Model inputs'!V150+'Model inputs'!V79+'Model inputs'!V144)*'Model inputs'!O105</f>
        <v>0</v>
      </c>
      <c r="W122" s="20">
        <f>('Model inputs'!W150+'Model inputs'!W79+'Model inputs'!W144)*'Model inputs'!O105</f>
        <v>0</v>
      </c>
    </row>
    <row r="123">
      <c r="A123" t="inlineStr" s="19">
        <is>
          <t xml:space="preserve">Paying teams · Cumulative operating cash · Upside · Upside</t>
        </is>
      </c>
      <c r="B123" s="8">
        <f>IF('Model inputs'!B96="","",'Model inputs'!B96)</f>
        <v>0</v>
      </c>
      <c r="C123" s="8">
        <f>IF('Model inputs'!C96="","",'Model inputs'!C96)</f>
        <v>1</v>
      </c>
      <c r="D123" s="8">
        <f>IF('Model inputs'!D96="","",'Model inputs'!D96)</f>
        <v>2</v>
      </c>
      <c r="E123" s="8">
        <f>IF('Model inputs'!E96="","",'Model inputs'!E96)</f>
        <v>4</v>
      </c>
      <c r="F123" s="8">
        <f>IF('Model inputs'!F96="","",'Model inputs'!F96)</f>
        <v>6</v>
      </c>
      <c r="G123" s="8">
        <f>IF('Model inputs'!G96="","",'Model inputs'!G96)</f>
        <v>9</v>
      </c>
      <c r="H123" s="8">
        <f>IF('Model inputs'!H96="","",'Model inputs'!H96)</f>
        <v>12</v>
      </c>
      <c r="I123" s="8">
        <f>IF('Model inputs'!I96="","",'Model inputs'!I96)</f>
        <v>17</v>
      </c>
      <c r="J123" s="8">
        <f>IF('Model inputs'!J96="","",'Model inputs'!J96)</f>
        <v>23</v>
      </c>
      <c r="K123" s="8">
        <f>IF('Model inputs'!K96="","",'Model inputs'!K96)</f>
        <v>30</v>
      </c>
      <c r="L123" s="8">
        <f>IF('Model inputs'!L96="","",'Model inputs'!L96)</f>
        <v>40</v>
      </c>
      <c r="M123" s="8">
        <f>IF('Model inputs'!M96="","",'Model inputs'!M96)</f>
        <v>50</v>
      </c>
      <c r="N123" s="8">
        <f>IF('Model inputs'!N96="","",'Model inputs'!N96)</f>
        <v>60</v>
      </c>
      <c r="P123" s="8">
        <v>0</v>
      </c>
      <c r="Q123" s="8">
        <v>0</v>
      </c>
      <c r="R123" s="8">
        <v>0</v>
      </c>
      <c r="S123" s="8">
        <v>0</v>
      </c>
      <c r="T123" s="8">
        <v>0</v>
      </c>
      <c r="U123" s="8">
        <v>0</v>
      </c>
      <c r="V123" s="8">
        <v>0</v>
      </c>
      <c r="W123" s="8">
        <v>0</v>
      </c>
    </row>
    <row r="124">
      <c r="A124" t="inlineStr" s="19">
        <is>
          <t xml:space="preserve">Paying teams · Cumulative operating cash · Downside · Downside</t>
        </is>
      </c>
      <c r="B124" s="8">
        <f>IF('Model inputs'!B97="","",'Model inputs'!B97)</f>
        <v>0</v>
      </c>
      <c r="C124" s="8">
        <f>IF('Model inputs'!C97="","",'Model inputs'!C97)</f>
        <v>0</v>
      </c>
      <c r="D124" s="8">
        <f>IF('Model inputs'!D97="","",'Model inputs'!D97)</f>
        <v>0</v>
      </c>
      <c r="E124" s="8">
        <f>IF('Model inputs'!E97="","",'Model inputs'!E97)</f>
        <v>1</v>
      </c>
      <c r="F124" s="8">
        <f>IF('Model inputs'!F97="","",'Model inputs'!F97)</f>
        <v>1</v>
      </c>
      <c r="G124" s="8">
        <f>IF('Model inputs'!G97="","",'Model inputs'!G97)</f>
        <v>2</v>
      </c>
      <c r="H124" s="8">
        <f>IF('Model inputs'!H97="","",'Model inputs'!H97)</f>
        <v>2</v>
      </c>
      <c r="I124" s="8">
        <f>IF('Model inputs'!I97="","",'Model inputs'!I97)</f>
        <v>3</v>
      </c>
      <c r="J124" s="8">
        <f>IF('Model inputs'!J97="","",'Model inputs'!J97)</f>
        <v>4</v>
      </c>
      <c r="K124" s="8">
        <f>IF('Model inputs'!K97="","",'Model inputs'!K97)</f>
        <v>5</v>
      </c>
      <c r="L124" s="8">
        <f>IF('Model inputs'!L97="","",'Model inputs'!L97)</f>
        <v>7</v>
      </c>
      <c r="M124" s="8">
        <f>IF('Model inputs'!M97="","",'Model inputs'!M97)</f>
        <v>9</v>
      </c>
      <c r="N124" s="8">
        <f>IF('Model inputs'!N97="","",'Model inputs'!N97)</f>
        <v>12</v>
      </c>
      <c r="P124" s="8">
        <v>0</v>
      </c>
      <c r="Q124" s="8">
        <v>0</v>
      </c>
      <c r="R124" s="8">
        <v>0</v>
      </c>
      <c r="S124" s="8">
        <v>0</v>
      </c>
      <c r="T124" s="8">
        <v>0</v>
      </c>
      <c r="U124" s="8">
        <v>0</v>
      </c>
      <c r="V124" s="8">
        <v>0</v>
      </c>
      <c r="W124" s="8">
        <v>0</v>
      </c>
    </row>
    <row r="125">
      <c r="A125" t="inlineStr" s="19">
        <is>
          <t xml:space="preserve">Plan month · Cumulative cash if hired at earliest month · Main Scenario</t>
        </is>
      </c>
      <c r="B125" t="e" s="20">
        <f>IF('Model inputs'!B59="","",'Model inputs'!B59)</f>
        <v>#VALUE!</v>
      </c>
      <c r="C125" s="20">
        <f>IF('Model inputs'!C59="","",'Model inputs'!C59)</f>
        <v>1</v>
      </c>
      <c r="D125" s="20">
        <f>IF('Model inputs'!D59="","",'Model inputs'!D59)</f>
        <v>2</v>
      </c>
      <c r="E125" s="20">
        <f>IF('Model inputs'!E59="","",'Model inputs'!E59)</f>
        <v>3</v>
      </c>
      <c r="F125" s="20">
        <f>IF('Model inputs'!F59="","",'Model inputs'!F59)</f>
        <v>4</v>
      </c>
      <c r="G125" s="20">
        <f>IF('Model inputs'!G59="","",'Model inputs'!G59)</f>
        <v>5</v>
      </c>
      <c r="H125" s="20">
        <f>IF('Model inputs'!H59="","",'Model inputs'!H59)</f>
        <v>6</v>
      </c>
      <c r="I125" s="20">
        <f>IF('Model inputs'!I59="","",'Model inputs'!I59)</f>
        <v>7</v>
      </c>
      <c r="J125" s="20">
        <f>IF('Model inputs'!J59="","",'Model inputs'!J59)</f>
        <v>8</v>
      </c>
      <c r="K125" s="20">
        <f>IF('Model inputs'!K59="","",'Model inputs'!K59)</f>
        <v>9</v>
      </c>
      <c r="L125" s="20">
        <f>IF('Model inputs'!L59="","",'Model inputs'!L59)</f>
        <v>10</v>
      </c>
      <c r="M125" s="20">
        <f>IF('Model inputs'!M59="","",'Model inputs'!M59)</f>
        <v>11</v>
      </c>
      <c r="N125" s="20">
        <f>IF('Model inputs'!N59="","",'Model inputs'!N59)</f>
        <v>12</v>
      </c>
      <c r="P125" t="e" s="20">
        <f>DATEDIF(DATE(2026,10,1),DATE(2026,1,1),"M")+1</f>
        <v>#VALUE!</v>
      </c>
      <c r="Q125" t="e" s="20">
        <f>DATEDIF(DATE(2026,10,1),DATE(2026,2,1),"M")+1</f>
        <v>#VALUE!</v>
      </c>
      <c r="R125" t="e" s="20">
        <f>DATEDIF(DATE(2026,10,1),DATE(2026,3,1),"M")+1</f>
        <v>#VALUE!</v>
      </c>
      <c r="S125" t="e" s="20">
        <f>DATEDIF(DATE(2026,10,1),DATE(2026,4,1),"M")+1</f>
        <v>#VALUE!</v>
      </c>
      <c r="T125" t="e" s="20">
        <f>DATEDIF(DATE(2026,10,1),DATE(2026,5,1),"M")+1</f>
        <v>#VALUE!</v>
      </c>
      <c r="U125" t="e" s="20">
        <f>DATEDIF(DATE(2026,10,1),DATE(2026,6,1),"M")+1</f>
        <v>#VALUE!</v>
      </c>
      <c r="V125" t="e" s="20">
        <f>DATEDIF(DATE(2026,10,1),DATE(2026,7,1),"M")+1</f>
        <v>#VALUE!</v>
      </c>
      <c r="W125" t="e" s="20">
        <f>DATEDIF(DATE(2026,10,1),DATE(2026,8,1),"M")+1</f>
        <v>#VALUE!</v>
      </c>
    </row>
    <row r="126">
      <c r="A126" t="inlineStr" s="19">
        <is>
          <t xml:space="preserve">Plan month · Cumulative operating cash · Upside · Upside</t>
        </is>
      </c>
      <c r="B126" t="e" s="20">
        <f>IF('Model inputs'!B60="","",'Model inputs'!B60)</f>
        <v>#VALUE!</v>
      </c>
      <c r="C126" s="20">
        <f>IF('Model inputs'!C60="","",'Model inputs'!C60)</f>
        <v>1</v>
      </c>
      <c r="D126" s="20">
        <f>IF('Model inputs'!D60="","",'Model inputs'!D60)</f>
        <v>2</v>
      </c>
      <c r="E126" s="20">
        <f>IF('Model inputs'!E60="","",'Model inputs'!E60)</f>
        <v>3</v>
      </c>
      <c r="F126" s="20">
        <f>IF('Model inputs'!F60="","",'Model inputs'!F60)</f>
        <v>4</v>
      </c>
      <c r="G126" s="20">
        <f>IF('Model inputs'!G60="","",'Model inputs'!G60)</f>
        <v>5</v>
      </c>
      <c r="H126" s="20">
        <f>IF('Model inputs'!H60="","",'Model inputs'!H60)</f>
        <v>6</v>
      </c>
      <c r="I126" s="20">
        <f>IF('Model inputs'!I60="","",'Model inputs'!I60)</f>
        <v>7</v>
      </c>
      <c r="J126" s="20">
        <f>IF('Model inputs'!J60="","",'Model inputs'!J60)</f>
        <v>8</v>
      </c>
      <c r="K126" s="20">
        <f>IF('Model inputs'!K60="","",'Model inputs'!K60)</f>
        <v>9</v>
      </c>
      <c r="L126" s="20">
        <f>IF('Model inputs'!L60="","",'Model inputs'!L60)</f>
        <v>10</v>
      </c>
      <c r="M126" s="20">
        <f>IF('Model inputs'!M60="","",'Model inputs'!M60)</f>
        <v>11</v>
      </c>
      <c r="N126" s="20">
        <f>IF('Model inputs'!N60="","",'Model inputs'!N60)</f>
        <v>12</v>
      </c>
      <c r="P126" t="e" s="20">
        <f>DATEDIF(DATE(2026,10,1),DATE(2026,1,1),"M")+1</f>
        <v>#VALUE!</v>
      </c>
      <c r="Q126" t="e" s="20">
        <f>DATEDIF(DATE(2026,10,1),DATE(2026,2,1),"M")+1</f>
        <v>#VALUE!</v>
      </c>
      <c r="R126" t="e" s="20">
        <f>DATEDIF(DATE(2026,10,1),DATE(2026,3,1),"M")+1</f>
        <v>#VALUE!</v>
      </c>
      <c r="S126" t="e" s="20">
        <f>DATEDIF(DATE(2026,10,1),DATE(2026,4,1),"M")+1</f>
        <v>#VALUE!</v>
      </c>
      <c r="T126" t="e" s="20">
        <f>DATEDIF(DATE(2026,10,1),DATE(2026,5,1),"M")+1</f>
        <v>#VALUE!</v>
      </c>
      <c r="U126" t="e" s="20">
        <f>DATEDIF(DATE(2026,10,1),DATE(2026,6,1),"M")+1</f>
        <v>#VALUE!</v>
      </c>
      <c r="V126" t="e" s="20">
        <f>DATEDIF(DATE(2026,10,1),DATE(2026,7,1),"M")+1</f>
        <v>#VALUE!</v>
      </c>
      <c r="W126" t="e" s="20">
        <f>DATEDIF(DATE(2026,10,1),DATE(2026,8,1),"M")+1</f>
        <v>#VALUE!</v>
      </c>
    </row>
    <row r="127">
      <c r="A127" t="inlineStr" s="19">
        <is>
          <t xml:space="preserve">Plan month · Cumulative operating cash · Downside · Downside</t>
        </is>
      </c>
      <c r="B127" t="e" s="20">
        <f>IF('Model inputs'!B61="","",'Model inputs'!B61)</f>
        <v>#VALUE!</v>
      </c>
      <c r="C127" s="20">
        <f>IF('Model inputs'!C61="","",'Model inputs'!C61)</f>
        <v>1</v>
      </c>
      <c r="D127" s="20">
        <f>IF('Model inputs'!D61="","",'Model inputs'!D61)</f>
        <v>2</v>
      </c>
      <c r="E127" s="20">
        <f>IF('Model inputs'!E61="","",'Model inputs'!E61)</f>
        <v>3</v>
      </c>
      <c r="F127" s="20">
        <f>IF('Model inputs'!F61="","",'Model inputs'!F61)</f>
        <v>4</v>
      </c>
      <c r="G127" s="20">
        <f>IF('Model inputs'!G61="","",'Model inputs'!G61)</f>
        <v>5</v>
      </c>
      <c r="H127" s="20">
        <f>IF('Model inputs'!H61="","",'Model inputs'!H61)</f>
        <v>6</v>
      </c>
      <c r="I127" s="20">
        <f>IF('Model inputs'!I61="","",'Model inputs'!I61)</f>
        <v>7</v>
      </c>
      <c r="J127" s="20">
        <f>IF('Model inputs'!J61="","",'Model inputs'!J61)</f>
        <v>8</v>
      </c>
      <c r="K127" s="20">
        <f>IF('Model inputs'!K61="","",'Model inputs'!K61)</f>
        <v>9</v>
      </c>
      <c r="L127" s="20">
        <f>IF('Model inputs'!L61="","",'Model inputs'!L61)</f>
        <v>10</v>
      </c>
      <c r="M127" s="20">
        <f>IF('Model inputs'!M61="","",'Model inputs'!M61)</f>
        <v>11</v>
      </c>
      <c r="N127" s="20">
        <f>IF('Model inputs'!N61="","",'Model inputs'!N61)</f>
        <v>12</v>
      </c>
      <c r="P127" t="e" s="20">
        <f>DATEDIF(DATE(2026,10,1),DATE(2026,1,1),"M")+1</f>
        <v>#VALUE!</v>
      </c>
      <c r="Q127" t="e" s="20">
        <f>DATEDIF(DATE(2026,10,1),DATE(2026,2,1),"M")+1</f>
        <v>#VALUE!</v>
      </c>
      <c r="R127" t="e" s="20">
        <f>DATEDIF(DATE(2026,10,1),DATE(2026,3,1),"M")+1</f>
        <v>#VALUE!</v>
      </c>
      <c r="S127" t="e" s="20">
        <f>DATEDIF(DATE(2026,10,1),DATE(2026,4,1),"M")+1</f>
        <v>#VALUE!</v>
      </c>
      <c r="T127" t="e" s="20">
        <f>DATEDIF(DATE(2026,10,1),DATE(2026,5,1),"M")+1</f>
        <v>#VALUE!</v>
      </c>
      <c r="U127" t="e" s="20">
        <f>DATEDIF(DATE(2026,10,1),DATE(2026,6,1),"M")+1</f>
        <v>#VALUE!</v>
      </c>
      <c r="V127" t="e" s="20">
        <f>DATEDIF(DATE(2026,10,1),DATE(2026,7,1),"M")+1</f>
        <v>#VALUE!</v>
      </c>
      <c r="W127" t="e" s="20">
        <f>DATEDIF(DATE(2026,10,1),DATE(2026,8,1),"M")+1</f>
        <v>#VALUE!</v>
      </c>
    </row>
    <row r="128">
      <c r="A128" t="inlineStr" s="19">
        <is>
          <t xml:space="preserve">Revenue · Cumulative operating cash · Upside · Upside</t>
        </is>
      </c>
      <c r="B128" s="15">
        <f>'Model inputs'!B66+'Model inputs'!B29+'Model inputs'!B56</f>
        <v>0</v>
      </c>
      <c r="C128" s="15">
        <f>'Model inputs'!C66+'Model inputs'!C29+'Model inputs'!C56</f>
        <v>199</v>
      </c>
      <c r="D128" s="15">
        <f>'Model inputs'!D66+'Model inputs'!D29+'Model inputs'!D56</f>
        <v>398</v>
      </c>
      <c r="E128" s="15">
        <f>'Model inputs'!E66+'Model inputs'!E29+'Model inputs'!E56</f>
        <v>796</v>
      </c>
      <c r="F128" s="15">
        <f>'Model inputs'!F66+'Model inputs'!F29+'Model inputs'!F56</f>
        <v>1194</v>
      </c>
      <c r="G128" s="15">
        <f>'Model inputs'!G66+'Model inputs'!G29+'Model inputs'!G56</f>
        <v>1791</v>
      </c>
      <c r="H128" s="15">
        <f>'Model inputs'!H66+'Model inputs'!H29+'Model inputs'!H56</f>
        <v>2388</v>
      </c>
      <c r="I128" s="15">
        <f>'Model inputs'!I66+'Model inputs'!I29+'Model inputs'!I56</f>
        <v>3383</v>
      </c>
      <c r="J128" s="15">
        <f>'Model inputs'!J66+'Model inputs'!J29+'Model inputs'!J56</f>
        <v>4577</v>
      </c>
      <c r="K128" s="15">
        <f>'Model inputs'!K66+'Model inputs'!K29+'Model inputs'!K56</f>
        <v>5970</v>
      </c>
      <c r="L128" s="15">
        <f>'Model inputs'!L66+'Model inputs'!L29+'Model inputs'!L56</f>
        <v>7960</v>
      </c>
      <c r="M128" s="15">
        <f>'Model inputs'!M66+'Model inputs'!M29+'Model inputs'!M56</f>
        <v>9950</v>
      </c>
      <c r="N128" s="15">
        <f>'Model inputs'!N66+'Model inputs'!N29+'Model inputs'!N56</f>
        <v>11940</v>
      </c>
      <c r="P128" s="15">
        <f>'Model inputs'!P147+'Model inputs'!P133+'Model inputs'!P145</f>
        <v>0</v>
      </c>
      <c r="Q128" s="15">
        <f>'Model inputs'!Q147+'Model inputs'!Q133+'Model inputs'!Q145</f>
        <v>0</v>
      </c>
      <c r="R128" s="15">
        <f>'Model inputs'!R147+'Model inputs'!R133+'Model inputs'!R145</f>
        <v>0</v>
      </c>
      <c r="S128" s="15">
        <f>'Model inputs'!S147+'Model inputs'!S133+'Model inputs'!S145</f>
        <v>0</v>
      </c>
      <c r="T128" s="15">
        <f>'Model inputs'!T147+'Model inputs'!T133+'Model inputs'!T145</f>
        <v>0</v>
      </c>
      <c r="U128" s="15">
        <f>'Model inputs'!U147+'Model inputs'!U133+'Model inputs'!U145</f>
        <v>0</v>
      </c>
      <c r="V128" s="15">
        <f>'Model inputs'!V147+'Model inputs'!V133+'Model inputs'!V145</f>
        <v>0</v>
      </c>
      <c r="W128" s="15">
        <f>'Model inputs'!W147+'Model inputs'!W133+'Model inputs'!W145</f>
        <v>0</v>
      </c>
    </row>
    <row r="129">
      <c r="A129" t="inlineStr" s="19">
        <is>
          <t xml:space="preserve">Revenue · Cumulative operating cash · Downside · Downside</t>
        </is>
      </c>
      <c r="B129" s="15">
        <f>'Model inputs'!B67+'Model inputs'!B30+'Model inputs'!B57</f>
        <v>0</v>
      </c>
      <c r="C129" s="15">
        <f>'Model inputs'!C67+'Model inputs'!C30+'Model inputs'!C57</f>
        <v>0</v>
      </c>
      <c r="D129" s="15">
        <f>'Model inputs'!D67+'Model inputs'!D30+'Model inputs'!D57</f>
        <v>0</v>
      </c>
      <c r="E129" s="15">
        <f>'Model inputs'!E67+'Model inputs'!E30+'Model inputs'!E57</f>
        <v>199</v>
      </c>
      <c r="F129" s="15">
        <f>'Model inputs'!F67+'Model inputs'!F30+'Model inputs'!F57</f>
        <v>199</v>
      </c>
      <c r="G129" s="15">
        <f>'Model inputs'!G67+'Model inputs'!G30+'Model inputs'!G57</f>
        <v>398</v>
      </c>
      <c r="H129" s="15">
        <f>'Model inputs'!H67+'Model inputs'!H30+'Model inputs'!H57</f>
        <v>398</v>
      </c>
      <c r="I129" s="15">
        <f>'Model inputs'!I67+'Model inputs'!I30+'Model inputs'!I57</f>
        <v>597</v>
      </c>
      <c r="J129" s="15">
        <f>'Model inputs'!J67+'Model inputs'!J30+'Model inputs'!J57</f>
        <v>796</v>
      </c>
      <c r="K129" s="15">
        <f>'Model inputs'!K67+'Model inputs'!K30+'Model inputs'!K57</f>
        <v>995</v>
      </c>
      <c r="L129" s="15">
        <f>'Model inputs'!L67+'Model inputs'!L30+'Model inputs'!L57</f>
        <v>1393</v>
      </c>
      <c r="M129" s="15">
        <f>'Model inputs'!M67+'Model inputs'!M30+'Model inputs'!M57</f>
        <v>1791</v>
      </c>
      <c r="N129" s="15">
        <f>'Model inputs'!N67+'Model inputs'!N30+'Model inputs'!N57</f>
        <v>2388</v>
      </c>
      <c r="P129" s="15">
        <f>'Model inputs'!P148+'Model inputs'!P134+'Model inputs'!P146</f>
        <v>0</v>
      </c>
      <c r="Q129" s="15">
        <f>'Model inputs'!Q148+'Model inputs'!Q134+'Model inputs'!Q146</f>
        <v>0</v>
      </c>
      <c r="R129" s="15">
        <f>'Model inputs'!R148+'Model inputs'!R134+'Model inputs'!R146</f>
        <v>0</v>
      </c>
      <c r="S129" s="15">
        <f>'Model inputs'!S148+'Model inputs'!S134+'Model inputs'!S146</f>
        <v>0</v>
      </c>
      <c r="T129" s="15">
        <f>'Model inputs'!T148+'Model inputs'!T134+'Model inputs'!T146</f>
        <v>0</v>
      </c>
      <c r="U129" s="15">
        <f>'Model inputs'!U148+'Model inputs'!U134+'Model inputs'!U146</f>
        <v>0</v>
      </c>
      <c r="V129" s="15">
        <f>'Model inputs'!V148+'Model inputs'!V134+'Model inputs'!V146</f>
        <v>0</v>
      </c>
      <c r="W129" s="15">
        <f>'Model inputs'!W148+'Model inputs'!W134+'Model inputs'!W146</f>
        <v>0</v>
      </c>
    </row>
    <row r="130">
      <c r="A130" t="inlineStr" s="19">
        <is>
          <t xml:space="preserve">Engineer cost · Cumulative operating cash · Main Scenario · Main Scenario</t>
        </is>
      </c>
      <c r="B130" t="e" s="20">
        <f>IF('Model inputs'!B21="","",'Model inputs'!B21)</f>
        <v>#VALUE!</v>
      </c>
      <c r="C130" s="20">
        <f>IF('Model inputs'!C21="","",'Model inputs'!C21)</f>
        <v>0</v>
      </c>
      <c r="D130" s="20">
        <f>IF('Model inputs'!D21="","",'Model inputs'!D21)</f>
        <v>0</v>
      </c>
      <c r="E130" s="20">
        <f>IF('Model inputs'!E21="","",'Model inputs'!E21)</f>
        <v>0</v>
      </c>
      <c r="F130" s="20">
        <f>IF('Model inputs'!F21="","",'Model inputs'!F21)</f>
        <v>0</v>
      </c>
      <c r="G130" s="20">
        <f>IF('Model inputs'!G21="","",'Model inputs'!G21)</f>
        <v>0</v>
      </c>
      <c r="H130" s="20">
        <f>IF('Model inputs'!H21="","",'Model inputs'!H21)</f>
        <v>0</v>
      </c>
      <c r="I130" s="20">
        <f>IF('Model inputs'!I21="","",'Model inputs'!I21)</f>
        <v>0</v>
      </c>
      <c r="J130" s="20">
        <f>IF('Model inputs'!J21="","",'Model inputs'!J21)</f>
        <v>0</v>
      </c>
      <c r="K130" s="20">
        <f>IF('Model inputs'!K21="","",'Model inputs'!K21)</f>
        <v>0</v>
      </c>
      <c r="L130" s="20">
        <f>IF('Model inputs'!L21="","",'Model inputs'!L21)</f>
        <v>0</v>
      </c>
      <c r="M130" s="20">
        <f>IF('Model inputs'!M21="","",'Model inputs'!M21)</f>
        <v>0</v>
      </c>
      <c r="N130" s="20">
        <f>IF('Model inputs'!N21="","",'Model inputs'!N21)</f>
        <v>0</v>
      </c>
      <c r="P130" t="e" s="20">
        <f>'Model inputs'!P73*'Model inputs'!O10</f>
        <v>#VALUE!</v>
      </c>
      <c r="Q130" t="e" s="20">
        <f>'Model inputs'!Q73*'Model inputs'!O10</f>
        <v>#VALUE!</v>
      </c>
      <c r="R130" t="e" s="20">
        <f>'Model inputs'!R73*'Model inputs'!O10</f>
        <v>#VALUE!</v>
      </c>
      <c r="S130" t="e" s="20">
        <f>'Model inputs'!S73*'Model inputs'!O10</f>
        <v>#VALUE!</v>
      </c>
      <c r="T130" t="e" s="20">
        <f>'Model inputs'!T73*'Model inputs'!O10</f>
        <v>#VALUE!</v>
      </c>
      <c r="U130" t="e" s="20">
        <f>'Model inputs'!U73*'Model inputs'!O10</f>
        <v>#VALUE!</v>
      </c>
      <c r="V130" t="e" s="20">
        <f>'Model inputs'!V73*'Model inputs'!O10</f>
        <v>#VALUE!</v>
      </c>
      <c r="W130" t="e" s="20">
        <f>'Model inputs'!W73*'Model inputs'!O10</f>
        <v>#VALUE!</v>
      </c>
    </row>
    <row r="131">
      <c r="A131" t="inlineStr" s="19">
        <is>
          <t xml:space="preserve">Engineer cost · Cumulative operating cash · Upside · Upside</t>
        </is>
      </c>
      <c r="B131" t="e" s="20">
        <f>IF('Model inputs'!B22="","",'Model inputs'!B22)</f>
        <v>#VALUE!</v>
      </c>
      <c r="C131" s="20">
        <f>IF('Model inputs'!C22="","",'Model inputs'!C22)</f>
        <v>0</v>
      </c>
      <c r="D131" s="20">
        <f>IF('Model inputs'!D22="","",'Model inputs'!D22)</f>
        <v>0</v>
      </c>
      <c r="E131" s="20">
        <f>IF('Model inputs'!E22="","",'Model inputs'!E22)</f>
        <v>0</v>
      </c>
      <c r="F131" s="20">
        <f>IF('Model inputs'!F22="","",'Model inputs'!F22)</f>
        <v>0</v>
      </c>
      <c r="G131" s="20">
        <f>IF('Model inputs'!G22="","",'Model inputs'!G22)</f>
        <v>0</v>
      </c>
      <c r="H131" s="20">
        <f>IF('Model inputs'!H22="","",'Model inputs'!H22)</f>
        <v>0</v>
      </c>
      <c r="I131" s="20">
        <f>IF('Model inputs'!I22="","",'Model inputs'!I22)</f>
        <v>0</v>
      </c>
      <c r="J131" s="20">
        <f>IF('Model inputs'!J22="","",'Model inputs'!J22)</f>
        <v>0</v>
      </c>
      <c r="K131" s="20">
        <f>IF('Model inputs'!K22="","",'Model inputs'!K22)</f>
        <v>0</v>
      </c>
      <c r="L131" s="20">
        <f>IF('Model inputs'!L22="","",'Model inputs'!L22)</f>
        <v>0</v>
      </c>
      <c r="M131" s="20">
        <f>IF('Model inputs'!M22="","",'Model inputs'!M22)</f>
        <v>0</v>
      </c>
      <c r="N131" s="20">
        <f>IF('Model inputs'!N22="","",'Model inputs'!N22)</f>
        <v>6000</v>
      </c>
      <c r="P131" t="e" s="20">
        <f>'Model inputs'!P74*'Model inputs'!O11</f>
        <v>#VALUE!</v>
      </c>
      <c r="Q131" t="e" s="20">
        <f>'Model inputs'!Q74*'Model inputs'!O11</f>
        <v>#VALUE!</v>
      </c>
      <c r="R131" t="e" s="20">
        <f>'Model inputs'!R74*'Model inputs'!O11</f>
        <v>#VALUE!</v>
      </c>
      <c r="S131" t="e" s="20">
        <f>'Model inputs'!S74*'Model inputs'!O11</f>
        <v>#VALUE!</v>
      </c>
      <c r="T131" t="e" s="20">
        <f>'Model inputs'!T74*'Model inputs'!O11</f>
        <v>#VALUE!</v>
      </c>
      <c r="U131" t="e" s="20">
        <f>'Model inputs'!U74*'Model inputs'!O11</f>
        <v>#VALUE!</v>
      </c>
      <c r="V131" t="e" s="20">
        <f>'Model inputs'!V74*'Model inputs'!O11</f>
        <v>#VALUE!</v>
      </c>
      <c r="W131" t="e" s="20">
        <f>'Model inputs'!W74*'Model inputs'!O11</f>
        <v>#VALUE!</v>
      </c>
    </row>
    <row r="132">
      <c r="A132" t="inlineStr" s="19">
        <is>
          <t xml:space="preserve">Engineer cost · Cumulative operating cash · Downside · Downside</t>
        </is>
      </c>
      <c r="B132" t="e" s="20">
        <f>IF('Model inputs'!B23="","",'Model inputs'!B23)</f>
        <v>#VALUE!</v>
      </c>
      <c r="C132" s="20">
        <f>IF('Model inputs'!C23="","",'Model inputs'!C23)</f>
        <v>0</v>
      </c>
      <c r="D132" s="20">
        <f>IF('Model inputs'!D23="","",'Model inputs'!D23)</f>
        <v>0</v>
      </c>
      <c r="E132" s="20">
        <f>IF('Model inputs'!E23="","",'Model inputs'!E23)</f>
        <v>0</v>
      </c>
      <c r="F132" s="20">
        <f>IF('Model inputs'!F23="","",'Model inputs'!F23)</f>
        <v>0</v>
      </c>
      <c r="G132" s="20">
        <f>IF('Model inputs'!G23="","",'Model inputs'!G23)</f>
        <v>0</v>
      </c>
      <c r="H132" s="20">
        <f>IF('Model inputs'!H23="","",'Model inputs'!H23)</f>
        <v>0</v>
      </c>
      <c r="I132" s="20">
        <f>IF('Model inputs'!I23="","",'Model inputs'!I23)</f>
        <v>0</v>
      </c>
      <c r="J132" s="20">
        <f>IF('Model inputs'!J23="","",'Model inputs'!J23)</f>
        <v>0</v>
      </c>
      <c r="K132" s="20">
        <f>IF('Model inputs'!K23="","",'Model inputs'!K23)</f>
        <v>0</v>
      </c>
      <c r="L132" s="20">
        <f>IF('Model inputs'!L23="","",'Model inputs'!L23)</f>
        <v>0</v>
      </c>
      <c r="M132" s="20">
        <f>IF('Model inputs'!M23="","",'Model inputs'!M23)</f>
        <v>0</v>
      </c>
      <c r="N132" s="20">
        <f>IF('Model inputs'!N23="","",'Model inputs'!N23)</f>
        <v>0</v>
      </c>
      <c r="P132" t="e" s="20">
        <f>'Model inputs'!P75*'Model inputs'!O12</f>
        <v>#VALUE!</v>
      </c>
      <c r="Q132" t="e" s="20">
        <f>'Model inputs'!Q75*'Model inputs'!O12</f>
        <v>#VALUE!</v>
      </c>
      <c r="R132" t="e" s="20">
        <f>'Model inputs'!R75*'Model inputs'!O12</f>
        <v>#VALUE!</v>
      </c>
      <c r="S132" t="e" s="20">
        <f>'Model inputs'!S75*'Model inputs'!O12</f>
        <v>#VALUE!</v>
      </c>
      <c r="T132" t="e" s="20">
        <f>'Model inputs'!T75*'Model inputs'!O12</f>
        <v>#VALUE!</v>
      </c>
      <c r="U132" t="e" s="20">
        <f>'Model inputs'!U75*'Model inputs'!O12</f>
        <v>#VALUE!</v>
      </c>
      <c r="V132" t="e" s="20">
        <f>'Model inputs'!V75*'Model inputs'!O12</f>
        <v>#VALUE!</v>
      </c>
      <c r="W132" t="e" s="20">
        <f>'Model inputs'!W75*'Model inputs'!O12</f>
        <v>#VALUE!</v>
      </c>
    </row>
    <row r="133">
      <c r="A133" t="inlineStr" s="19">
        <is>
          <t xml:space="preserve">Extra fix revenue · Cumulative operating cash · Upside · Upside</t>
        </is>
      </c>
      <c r="B133" s="20">
        <f>IF('Model inputs'!B29="","",'Model inputs'!B29)</f>
        <v>0</v>
      </c>
      <c r="C133" s="20">
        <f>IF('Model inputs'!C29="","",'Model inputs'!C29)</f>
        <v>0</v>
      </c>
      <c r="D133" s="20">
        <f>IF('Model inputs'!D29="","",'Model inputs'!D29)</f>
        <v>0</v>
      </c>
      <c r="E133" s="20">
        <f>IF('Model inputs'!E29="","",'Model inputs'!E29)</f>
        <v>0</v>
      </c>
      <c r="F133" s="20">
        <f>IF('Model inputs'!F29="","",'Model inputs'!F29)</f>
        <v>0</v>
      </c>
      <c r="G133" s="20">
        <f>IF('Model inputs'!G29="","",'Model inputs'!G29)</f>
        <v>0</v>
      </c>
      <c r="H133" s="20">
        <f>IF('Model inputs'!H29="","",'Model inputs'!H29)</f>
        <v>0</v>
      </c>
      <c r="I133" s="20">
        <f>IF('Model inputs'!I29="","",'Model inputs'!I29)</f>
        <v>0</v>
      </c>
      <c r="J133" s="20">
        <f>IF('Model inputs'!J29="","",'Model inputs'!J29)</f>
        <v>0</v>
      </c>
      <c r="K133" s="20">
        <f>IF('Model inputs'!K29="","",'Model inputs'!K29)</f>
        <v>0</v>
      </c>
      <c r="L133" s="20">
        <f>IF('Model inputs'!L29="","",'Model inputs'!L29)</f>
        <v>0</v>
      </c>
      <c r="M133" s="20">
        <f>IF('Model inputs'!M29="","",'Model inputs'!M29)</f>
        <v>0</v>
      </c>
      <c r="N133" s="20">
        <f>IF('Model inputs'!N29="","",'Model inputs'!N29)</f>
        <v>0</v>
      </c>
      <c r="P133" s="20">
        <f>'Model inputs'!P78*'Model inputs'!O76</f>
        <v>0</v>
      </c>
      <c r="Q133" s="20">
        <f>'Model inputs'!Q78*'Model inputs'!O76</f>
        <v>0</v>
      </c>
      <c r="R133" s="20">
        <f>'Model inputs'!R78*'Model inputs'!O76</f>
        <v>0</v>
      </c>
      <c r="S133" s="20">
        <f>'Model inputs'!S78*'Model inputs'!O76</f>
        <v>0</v>
      </c>
      <c r="T133" s="20">
        <f>'Model inputs'!T78*'Model inputs'!O76</f>
        <v>0</v>
      </c>
      <c r="U133" s="20">
        <f>'Model inputs'!U78*'Model inputs'!O76</f>
        <v>0</v>
      </c>
      <c r="V133" s="20">
        <f>'Model inputs'!V78*'Model inputs'!O76</f>
        <v>0</v>
      </c>
      <c r="W133" s="20">
        <f>'Model inputs'!W78*'Model inputs'!O76</f>
        <v>0</v>
      </c>
    </row>
    <row r="134">
      <c r="A134" t="inlineStr" s="19">
        <is>
          <t xml:space="preserve">Extra fix revenue · Cumulative operating cash · Downside · Downside</t>
        </is>
      </c>
      <c r="B134" s="20">
        <f>IF('Model inputs'!B30="","",'Model inputs'!B30)</f>
        <v>0</v>
      </c>
      <c r="C134" s="20">
        <f>IF('Model inputs'!C30="","",'Model inputs'!C30)</f>
        <v>0</v>
      </c>
      <c r="D134" s="20">
        <f>IF('Model inputs'!D30="","",'Model inputs'!D30)</f>
        <v>0</v>
      </c>
      <c r="E134" s="20">
        <f>IF('Model inputs'!E30="","",'Model inputs'!E30)</f>
        <v>0</v>
      </c>
      <c r="F134" s="20">
        <f>IF('Model inputs'!F30="","",'Model inputs'!F30)</f>
        <v>0</v>
      </c>
      <c r="G134" s="20">
        <f>IF('Model inputs'!G30="","",'Model inputs'!G30)</f>
        <v>0</v>
      </c>
      <c r="H134" s="20">
        <f>IF('Model inputs'!H30="","",'Model inputs'!H30)</f>
        <v>0</v>
      </c>
      <c r="I134" s="20">
        <f>IF('Model inputs'!I30="","",'Model inputs'!I30)</f>
        <v>0</v>
      </c>
      <c r="J134" s="20">
        <f>IF('Model inputs'!J30="","",'Model inputs'!J30)</f>
        <v>0</v>
      </c>
      <c r="K134" s="20">
        <f>IF('Model inputs'!K30="","",'Model inputs'!K30)</f>
        <v>0</v>
      </c>
      <c r="L134" s="20">
        <f>IF('Model inputs'!L30="","",'Model inputs'!L30)</f>
        <v>0</v>
      </c>
      <c r="M134" s="20">
        <f>IF('Model inputs'!M30="","",'Model inputs'!M30)</f>
        <v>0</v>
      </c>
      <c r="N134" s="20">
        <f>IF('Model inputs'!N30="","",'Model inputs'!N30)</f>
        <v>0</v>
      </c>
      <c r="P134" s="20">
        <f>'Model inputs'!P79*'Model inputs'!O77</f>
        <v>0</v>
      </c>
      <c r="Q134" s="20">
        <f>'Model inputs'!Q79*'Model inputs'!O77</f>
        <v>0</v>
      </c>
      <c r="R134" s="20">
        <f>'Model inputs'!R79*'Model inputs'!O77</f>
        <v>0</v>
      </c>
      <c r="S134" s="20">
        <f>'Model inputs'!S79*'Model inputs'!O77</f>
        <v>0</v>
      </c>
      <c r="T134" s="20">
        <f>'Model inputs'!T79*'Model inputs'!O77</f>
        <v>0</v>
      </c>
      <c r="U134" s="20">
        <f>'Model inputs'!U79*'Model inputs'!O77</f>
        <v>0</v>
      </c>
      <c r="V134" s="20">
        <f>'Model inputs'!V79*'Model inputs'!O77</f>
        <v>0</v>
      </c>
      <c r="W134" s="20">
        <f>'Model inputs'!W79*'Model inputs'!O77</f>
        <v>0</v>
      </c>
    </row>
    <row r="135">
      <c r="A135" t="inlineStr" s="19">
        <is>
          <t xml:space="preserve">Fixed overhead · Cumulative cash if hired at earliest month</t>
        </is>
      </c>
      <c r="B135" s="20">
        <f>IF('Model inputs'!B33="","",'Model inputs'!B33)</f>
        <v>150</v>
      </c>
      <c r="C135" s="20">
        <f>IF('Model inputs'!C33="","",'Model inputs'!C33)</f>
        <v>150</v>
      </c>
      <c r="D135" s="20">
        <f>IF('Model inputs'!D33="","",'Model inputs'!D33)</f>
        <v>150</v>
      </c>
      <c r="E135" s="20">
        <f>IF('Model inputs'!E33="","",'Model inputs'!E33)</f>
        <v>150</v>
      </c>
      <c r="F135" s="20">
        <f>IF('Model inputs'!F33="","",'Model inputs'!F33)</f>
        <v>150</v>
      </c>
      <c r="G135" s="20">
        <f>IF('Model inputs'!G33="","",'Model inputs'!G33)</f>
        <v>150</v>
      </c>
      <c r="H135" s="20">
        <f>IF('Model inputs'!H33="","",'Model inputs'!H33)</f>
        <v>150</v>
      </c>
      <c r="I135" s="20">
        <f>IF('Model inputs'!I33="","",'Model inputs'!I33)</f>
        <v>150</v>
      </c>
      <c r="J135" s="20">
        <f>IF('Model inputs'!J33="","",'Model inputs'!J33)</f>
        <v>150</v>
      </c>
      <c r="K135" s="20">
        <f>IF('Model inputs'!K33="","",'Model inputs'!K33)</f>
        <v>150</v>
      </c>
      <c r="L135" s="20">
        <f>IF('Model inputs'!L33="","",'Model inputs'!L33)</f>
        <v>150</v>
      </c>
      <c r="M135" s="20">
        <f>IF('Model inputs'!M33="","",'Model inputs'!M33)</f>
        <v>150</v>
      </c>
      <c r="N135" s="20">
        <f>IF('Model inputs'!N33="","",'Model inputs'!N33)</f>
        <v>150</v>
      </c>
      <c r="P135" s="20">
        <f>'Model inputs'!O47+'Model inputs'!O48</f>
        <v>150</v>
      </c>
      <c r="Q135" s="20">
        <f>'Model inputs'!O47+'Model inputs'!O48</f>
        <v>150</v>
      </c>
      <c r="R135" s="20">
        <f>'Model inputs'!O47+'Model inputs'!O48</f>
        <v>150</v>
      </c>
      <c r="S135" s="20">
        <f>'Model inputs'!O47+'Model inputs'!O48</f>
        <v>150</v>
      </c>
      <c r="T135" s="20">
        <f>'Model inputs'!O47+'Model inputs'!O48</f>
        <v>150</v>
      </c>
      <c r="U135" s="20">
        <f>'Model inputs'!O47+'Model inputs'!O48</f>
        <v>150</v>
      </c>
      <c r="V135" s="20">
        <f>'Model inputs'!O47+'Model inputs'!O48</f>
        <v>150</v>
      </c>
      <c r="W135" s="20">
        <f>'Model inputs'!O47+'Model inputs'!O48</f>
        <v>150</v>
      </c>
    </row>
    <row r="136">
      <c r="A136" t="inlineStr" s="19">
        <is>
          <t xml:space="preserve">Founder pay · Cumulative cash if hired at earliest month</t>
        </is>
      </c>
      <c r="B136" t="e" s="20">
        <f>IF('Model inputs'!B35="","",'Model inputs'!B35)</f>
        <v>#VALUE!</v>
      </c>
      <c r="C136" s="20">
        <f>IF('Model inputs'!C35="","",'Model inputs'!C35)</f>
        <v>0</v>
      </c>
      <c r="D136" s="20">
        <f>IF('Model inputs'!D35="","",'Model inputs'!D35)</f>
        <v>0</v>
      </c>
      <c r="E136" s="20">
        <f>IF('Model inputs'!E35="","",'Model inputs'!E35)</f>
        <v>0</v>
      </c>
      <c r="F136" s="20">
        <f>IF('Model inputs'!F35="","",'Model inputs'!F35)</f>
        <v>0</v>
      </c>
      <c r="G136" s="20">
        <f>IF('Model inputs'!G35="","",'Model inputs'!G35)</f>
        <v>0</v>
      </c>
      <c r="H136" s="20">
        <f>IF('Model inputs'!H35="","",'Model inputs'!H35)</f>
        <v>0</v>
      </c>
      <c r="I136" s="20">
        <f>IF('Model inputs'!I35="","",'Model inputs'!I35)</f>
        <v>4000</v>
      </c>
      <c r="J136" s="20">
        <f>IF('Model inputs'!J35="","",'Model inputs'!J35)</f>
        <v>4000</v>
      </c>
      <c r="K136" s="20">
        <f>IF('Model inputs'!K35="","",'Model inputs'!K35)</f>
        <v>4000</v>
      </c>
      <c r="L136" s="20">
        <f>IF('Model inputs'!L35="","",'Model inputs'!L35)</f>
        <v>4000</v>
      </c>
      <c r="M136" s="20">
        <f>IF('Model inputs'!M35="","",'Model inputs'!M35)</f>
        <v>4000</v>
      </c>
      <c r="N136" s="20">
        <f>IF('Model inputs'!N35="","",'Model inputs'!N35)</f>
        <v>4000</v>
      </c>
      <c r="P136" t="e" s="20">
        <f>IF(IF(IF(ISERROR('Model inputs'!P125&gt;='Model inputs'!O36),'Model inputs'!P125&gt;='Model inputs'!O36,IF(OR('Model inputs'!P125="",'Model inputs'!O36=""),"",'Model inputs'!P125&gt;='Model inputs'!O36))="",FALSE,IF(ISERROR('Model inputs'!P125&gt;='Model inputs'!O36),'Model inputs'!P125&gt;='Model inputs'!O36,IF(OR('Model inputs'!P125="",'Model inputs'!O36=""),"",'Model inputs'!P125&gt;='Model inputs'!O36))),IF('Model inputs'!O34="","",'Model inputs'!O34),0)</f>
        <v>#VALUE!</v>
      </c>
      <c r="Q136" t="e" s="20">
        <f>IF(IF(IF(ISERROR('Model inputs'!Q125&gt;='Model inputs'!O36),'Model inputs'!Q125&gt;='Model inputs'!O36,IF(OR('Model inputs'!Q125="",'Model inputs'!O36=""),"",'Model inputs'!Q125&gt;='Model inputs'!O36))="",FALSE,IF(ISERROR('Model inputs'!Q125&gt;='Model inputs'!O36),'Model inputs'!Q125&gt;='Model inputs'!O36,IF(OR('Model inputs'!Q125="",'Model inputs'!O36=""),"",'Model inputs'!Q125&gt;='Model inputs'!O36))),IF('Model inputs'!O34="","",'Model inputs'!O34),0)</f>
        <v>#VALUE!</v>
      </c>
      <c r="R136" t="e" s="20">
        <f>IF(IF(IF(ISERROR('Model inputs'!R125&gt;='Model inputs'!O36),'Model inputs'!R125&gt;='Model inputs'!O36,IF(OR('Model inputs'!R125="",'Model inputs'!O36=""),"",'Model inputs'!R125&gt;='Model inputs'!O36))="",FALSE,IF(ISERROR('Model inputs'!R125&gt;='Model inputs'!O36),'Model inputs'!R125&gt;='Model inputs'!O36,IF(OR('Model inputs'!R125="",'Model inputs'!O36=""),"",'Model inputs'!R125&gt;='Model inputs'!O36))),IF('Model inputs'!O34="","",'Model inputs'!O34),0)</f>
        <v>#VALUE!</v>
      </c>
      <c r="S136" t="e" s="20">
        <f>IF(IF(IF(ISERROR('Model inputs'!S125&gt;='Model inputs'!O36),'Model inputs'!S125&gt;='Model inputs'!O36,IF(OR('Model inputs'!S125="",'Model inputs'!O36=""),"",'Model inputs'!S125&gt;='Model inputs'!O36))="",FALSE,IF(ISERROR('Model inputs'!S125&gt;='Model inputs'!O36),'Model inputs'!S125&gt;='Model inputs'!O36,IF(OR('Model inputs'!S125="",'Model inputs'!O36=""),"",'Model inputs'!S125&gt;='Model inputs'!O36))),IF('Model inputs'!O34="","",'Model inputs'!O34),0)</f>
        <v>#VALUE!</v>
      </c>
      <c r="T136" t="e" s="20">
        <f>IF(IF(IF(ISERROR('Model inputs'!T125&gt;='Model inputs'!O36),'Model inputs'!T125&gt;='Model inputs'!O36,IF(OR('Model inputs'!T125="",'Model inputs'!O36=""),"",'Model inputs'!T125&gt;='Model inputs'!O36))="",FALSE,IF(ISERROR('Model inputs'!T125&gt;='Model inputs'!O36),'Model inputs'!T125&gt;='Model inputs'!O36,IF(OR('Model inputs'!T125="",'Model inputs'!O36=""),"",'Model inputs'!T125&gt;='Model inputs'!O36))),IF('Model inputs'!O34="","",'Model inputs'!O34),0)</f>
        <v>#VALUE!</v>
      </c>
      <c r="U136" t="e" s="20">
        <f>IF(IF(IF(ISERROR('Model inputs'!U125&gt;='Model inputs'!O36),'Model inputs'!U125&gt;='Model inputs'!O36,IF(OR('Model inputs'!U125="",'Model inputs'!O36=""),"",'Model inputs'!U125&gt;='Model inputs'!O36))="",FALSE,IF(ISERROR('Model inputs'!U125&gt;='Model inputs'!O36),'Model inputs'!U125&gt;='Model inputs'!O36,IF(OR('Model inputs'!U125="",'Model inputs'!O36=""),"",'Model inputs'!U125&gt;='Model inputs'!O36))),IF('Model inputs'!O34="","",'Model inputs'!O34),0)</f>
        <v>#VALUE!</v>
      </c>
      <c r="V136" t="e" s="20">
        <f>IF(IF(IF(ISERROR('Model inputs'!V125&gt;='Model inputs'!O36),'Model inputs'!V125&gt;='Model inputs'!O36,IF(OR('Model inputs'!V125="",'Model inputs'!O36=""),"",'Model inputs'!V125&gt;='Model inputs'!O36))="",FALSE,IF(ISERROR('Model inputs'!V125&gt;='Model inputs'!O36),'Model inputs'!V125&gt;='Model inputs'!O36,IF(OR('Model inputs'!V125="",'Model inputs'!O36=""),"",'Model inputs'!V125&gt;='Model inputs'!O36))),IF('Model inputs'!O34="","",'Model inputs'!O34),0)</f>
        <v>#VALUE!</v>
      </c>
      <c r="W136" t="e" s="20">
        <f>IF(IF(IF(ISERROR('Model inputs'!W125&gt;='Model inputs'!O36),'Model inputs'!W125&gt;='Model inputs'!O36,IF(OR('Model inputs'!W125="",'Model inputs'!O36=""),"",'Model inputs'!W125&gt;='Model inputs'!O36))="",FALSE,IF(ISERROR('Model inputs'!W125&gt;='Model inputs'!O36),'Model inputs'!W125&gt;='Model inputs'!O36,IF(OR('Model inputs'!W125="",'Model inputs'!O36=""),"",'Model inputs'!W125&gt;='Model inputs'!O36))),IF('Model inputs'!O34="","",'Model inputs'!O34),0)</f>
        <v>#VALUE!</v>
      </c>
    </row>
    <row r="137">
      <c r="A137" t="inlineStr" s="19">
        <is>
          <t xml:space="preserve">Free fixes per project · Free successful fixes · Cumulative operating cash · Upside · Upside · Upside</t>
        </is>
      </c>
      <c r="O137" s="20">
        <f>'Pricing and operating assumptio'!B17</f>
        <v>1</v>
      </c>
    </row>
    <row r="138">
      <c r="A138" t="inlineStr" s="19">
        <is>
          <t xml:space="preserve">Free fixes per project · Free successful fixes · Cumulative operating cash · Downside · Downside · Downside</t>
        </is>
      </c>
      <c r="O138" s="20">
        <f>'Pricing and operating assumptio'!B17</f>
        <v>1</v>
      </c>
    </row>
    <row r="139">
      <c r="A139" t="inlineStr" s="19">
        <is>
          <t xml:space="preserve">Free project cost · Cumulative cash if hired at earliest month</t>
        </is>
      </c>
      <c r="B139" s="20">
        <f>IF('Model inputs'!B38="","",'Model inputs'!B38)</f>
        <v>0</v>
      </c>
      <c r="C139" s="20">
        <f>IF('Model inputs'!C38="","",'Model inputs'!C38)</f>
        <v>4.5</v>
      </c>
      <c r="D139" s="20">
        <f>IF('Model inputs'!D38="","",'Model inputs'!D38)</f>
        <v>9</v>
      </c>
      <c r="E139" s="20">
        <f>IF('Model inputs'!E38="","",'Model inputs'!E38)</f>
        <v>15</v>
      </c>
      <c r="F139" s="20">
        <f>IF('Model inputs'!F38="","",'Model inputs'!F38)</f>
        <v>15</v>
      </c>
      <c r="G139" s="20">
        <f>IF('Model inputs'!G38="","",'Model inputs'!G38)</f>
        <v>15</v>
      </c>
      <c r="H139" s="20">
        <f>IF('Model inputs'!H38="","",'Model inputs'!H38)</f>
        <v>15</v>
      </c>
      <c r="I139" s="20">
        <f>IF('Model inputs'!I38="","",'Model inputs'!I38)</f>
        <v>15</v>
      </c>
      <c r="J139" s="20">
        <f>IF('Model inputs'!J38="","",'Model inputs'!J38)</f>
        <v>15</v>
      </c>
      <c r="K139" s="20">
        <f>IF('Model inputs'!K38="","",'Model inputs'!K38)</f>
        <v>15</v>
      </c>
      <c r="L139" s="20">
        <f>IF('Model inputs'!L38="","",'Model inputs'!L38)</f>
        <v>15</v>
      </c>
      <c r="M139" s="20">
        <f>IF('Model inputs'!M38="","",'Model inputs'!M38)</f>
        <v>15</v>
      </c>
      <c r="N139" s="20">
        <f>IF('Model inputs'!N38="","",'Model inputs'!N38)</f>
        <v>15</v>
      </c>
      <c r="P139" s="20">
        <f>'Model inputs'!P151*'Model inputs'!O13</f>
        <v>0</v>
      </c>
      <c r="Q139" s="20">
        <f>'Model inputs'!Q151*'Model inputs'!O13</f>
        <v>0</v>
      </c>
      <c r="R139" s="20">
        <f>'Model inputs'!R151*'Model inputs'!O13</f>
        <v>0</v>
      </c>
      <c r="S139" s="20">
        <f>'Model inputs'!S151*'Model inputs'!O13</f>
        <v>0</v>
      </c>
      <c r="T139" s="20">
        <f>'Model inputs'!T151*'Model inputs'!O13</f>
        <v>0</v>
      </c>
      <c r="U139" s="20">
        <f>'Model inputs'!U151*'Model inputs'!O13</f>
        <v>0</v>
      </c>
      <c r="V139" s="20">
        <f>'Model inputs'!V151*'Model inputs'!O13</f>
        <v>0</v>
      </c>
      <c r="W139" s="20">
        <f>'Model inputs'!W151*'Model inputs'!O13</f>
        <v>0</v>
      </c>
    </row>
    <row r="140">
      <c r="A140" t="inlineStr" s="19">
        <is>
          <t xml:space="preserve">Free projects · Cumulative operating cash · Upside · Upside</t>
        </is>
      </c>
      <c r="B140" s="20">
        <v>0</v>
      </c>
      <c r="C140" s="20">
        <f>'Monthly operating and hiring fo'!B6</f>
        <v>3</v>
      </c>
      <c r="D140" s="20">
        <f>'Monthly operating and hiring fo'!C6</f>
        <v>6</v>
      </c>
      <c r="E140" s="20">
        <f>'Monthly operating and hiring fo'!D6</f>
        <v>10</v>
      </c>
      <c r="F140" s="20">
        <f>'Monthly operating and hiring fo'!E6</f>
        <v>10</v>
      </c>
      <c r="G140" s="20">
        <f>'Monthly operating and hiring fo'!F6</f>
        <v>10</v>
      </c>
      <c r="H140" s="20">
        <f>'Monthly operating and hiring fo'!G6</f>
        <v>10</v>
      </c>
      <c r="I140" s="20">
        <f>'Monthly operating and hiring fo'!H6</f>
        <v>10</v>
      </c>
      <c r="J140" s="20">
        <f>'Monthly operating and hiring fo'!I6</f>
        <v>10</v>
      </c>
      <c r="K140" s="20">
        <f>'Monthly operating and hiring fo'!J6</f>
        <v>10</v>
      </c>
      <c r="L140" s="20">
        <f>'Monthly operating and hiring fo'!K6</f>
        <v>10</v>
      </c>
      <c r="M140" s="20">
        <f>'Monthly operating and hiring fo'!L6</f>
        <v>10</v>
      </c>
      <c r="N140" s="20">
        <f>'Monthly operating and hiring fo'!M6</f>
        <v>10</v>
      </c>
      <c r="P140" s="20">
        <v>0</v>
      </c>
      <c r="Q140" s="20">
        <v>0</v>
      </c>
      <c r="R140" s="20">
        <v>0</v>
      </c>
      <c r="S140" s="20">
        <v>0</v>
      </c>
      <c r="T140" s="20">
        <v>0</v>
      </c>
      <c r="U140" s="20">
        <v>0</v>
      </c>
      <c r="V140" s="20">
        <v>0</v>
      </c>
      <c r="W140" s="20">
        <v>0</v>
      </c>
    </row>
    <row r="141">
      <c r="A141" t="inlineStr" s="19">
        <is>
          <t xml:space="preserve">Free projects · Cumulative operating cash · Downside · Downside</t>
        </is>
      </c>
      <c r="B141" s="20">
        <v>0</v>
      </c>
      <c r="C141" s="20">
        <f>'Monthly operating and hiring fo'!B6</f>
        <v>3</v>
      </c>
      <c r="D141" s="20">
        <f>'Monthly operating and hiring fo'!C6</f>
        <v>6</v>
      </c>
      <c r="E141" s="20">
        <f>'Monthly operating and hiring fo'!D6</f>
        <v>10</v>
      </c>
      <c r="F141" s="20">
        <f>'Monthly operating and hiring fo'!E6</f>
        <v>10</v>
      </c>
      <c r="G141" s="20">
        <f>'Monthly operating and hiring fo'!F6</f>
        <v>10</v>
      </c>
      <c r="H141" s="20">
        <f>'Monthly operating and hiring fo'!G6</f>
        <v>10</v>
      </c>
      <c r="I141" s="20">
        <f>'Monthly operating and hiring fo'!H6</f>
        <v>10</v>
      </c>
      <c r="J141" s="20">
        <f>'Monthly operating and hiring fo'!I6</f>
        <v>10</v>
      </c>
      <c r="K141" s="20">
        <f>'Monthly operating and hiring fo'!J6</f>
        <v>10</v>
      </c>
      <c r="L141" s="20">
        <f>'Monthly operating and hiring fo'!K6</f>
        <v>10</v>
      </c>
      <c r="M141" s="20">
        <f>'Monthly operating and hiring fo'!L6</f>
        <v>10</v>
      </c>
      <c r="N141" s="20">
        <f>'Monthly operating and hiring fo'!M6</f>
        <v>10</v>
      </c>
      <c r="P141" s="20">
        <v>0</v>
      </c>
      <c r="Q141" s="20">
        <v>0</v>
      </c>
      <c r="R141" s="20">
        <v>0</v>
      </c>
      <c r="S141" s="20">
        <v>0</v>
      </c>
      <c r="T141" s="20">
        <v>0</v>
      </c>
      <c r="U141" s="20">
        <v>0</v>
      </c>
      <c r="V141" s="20">
        <v>0</v>
      </c>
      <c r="W141" s="20">
        <v>0</v>
      </c>
    </row>
    <row r="142">
      <c r="A142" t="inlineStr" s="19">
        <is>
          <t xml:space="preserve">Gross profit · Cumulative cash if hired at earliest month</t>
        </is>
      </c>
      <c r="B142" s="20">
        <f>IF('Model inputs'!B42="","",'Model inputs'!B42)</f>
        <v>0</v>
      </c>
      <c r="C142" s="20">
        <f>IF('Model inputs'!C42="","",'Model inputs'!C42)</f>
        <v>0</v>
      </c>
      <c r="D142" s="20">
        <f>IF('Model inputs'!D42="","",'Model inputs'!D42)</f>
        <v>184</v>
      </c>
      <c r="E142" s="20">
        <f>IF('Model inputs'!E42="","",'Model inputs'!E42)</f>
        <v>368</v>
      </c>
      <c r="F142" s="20">
        <f>IF('Model inputs'!F42="","",'Model inputs'!F42)</f>
        <v>552</v>
      </c>
      <c r="G142" s="20">
        <f>IF('Model inputs'!G42="","",'Model inputs'!G42)</f>
        <v>736</v>
      </c>
      <c r="H142" s="20">
        <f>IF('Model inputs'!H42="","",'Model inputs'!H42)</f>
        <v>920</v>
      </c>
      <c r="I142" s="20">
        <f>IF('Model inputs'!I42="","",'Model inputs'!I42)</f>
        <v>1472</v>
      </c>
      <c r="J142" s="20">
        <f>IF('Model inputs'!J42="","",'Model inputs'!J42)</f>
        <v>2024</v>
      </c>
      <c r="K142" s="20">
        <f>IF('Model inputs'!K42="","",'Model inputs'!K42)</f>
        <v>2760</v>
      </c>
      <c r="L142" s="20">
        <f>IF('Model inputs'!L42="","",'Model inputs'!L42)</f>
        <v>3680</v>
      </c>
      <c r="M142" s="20">
        <f>IF('Model inputs'!M42="","",'Model inputs'!M42)</f>
        <v>4600</v>
      </c>
      <c r="N142" s="20">
        <f>IF('Model inputs'!N42="","",'Model inputs'!N42)</f>
        <v>5520</v>
      </c>
      <c r="P142" s="20">
        <f>'Model inputs'!P155-'Model inputs'!P154</f>
        <v>0</v>
      </c>
      <c r="Q142" s="20">
        <f>'Model inputs'!Q155-'Model inputs'!Q154</f>
        <v>0</v>
      </c>
      <c r="R142" s="20">
        <f>'Model inputs'!R155-'Model inputs'!R154</f>
        <v>0</v>
      </c>
      <c r="S142" s="20">
        <f>'Model inputs'!S155-'Model inputs'!S154</f>
        <v>0</v>
      </c>
      <c r="T142" s="20">
        <f>'Model inputs'!T155-'Model inputs'!T154</f>
        <v>0</v>
      </c>
      <c r="U142" s="20">
        <f>'Model inputs'!U155-'Model inputs'!U154</f>
        <v>0</v>
      </c>
      <c r="V142" s="20">
        <f>'Model inputs'!V155-'Model inputs'!V154</f>
        <v>0</v>
      </c>
      <c r="W142" s="20">
        <f>'Model inputs'!W155-'Model inputs'!W154</f>
        <v>0</v>
      </c>
    </row>
    <row r="143">
      <c r="A143" t="inlineStr" s="19">
        <is>
          <t xml:space="preserve">Paid standalone fixes · Cumulative operating cash · Upside · Upside</t>
        </is>
      </c>
      <c r="B143" s="20">
        <f>IF('Model inputs'!B92="","",'Model inputs'!B92)</f>
        <v>0</v>
      </c>
      <c r="C143" s="20">
        <f>IF('Model inputs'!C92="","",'Model inputs'!C92)</f>
        <v>0</v>
      </c>
      <c r="D143" s="20">
        <f>IF('Model inputs'!D92="","",'Model inputs'!D92)</f>
        <v>0</v>
      </c>
      <c r="E143" s="20">
        <f>IF('Model inputs'!E92="","",'Model inputs'!E92)</f>
        <v>0</v>
      </c>
      <c r="F143" s="20">
        <f>IF('Model inputs'!F92="","",'Model inputs'!F92)</f>
        <v>0</v>
      </c>
      <c r="G143" s="20">
        <f>IF('Model inputs'!G92="","",'Model inputs'!G92)</f>
        <v>0</v>
      </c>
      <c r="H143" s="20">
        <f>IF('Model inputs'!H92="","",'Model inputs'!H92)</f>
        <v>0</v>
      </c>
      <c r="I143" s="20">
        <f>IF('Model inputs'!I92="","",'Model inputs'!I92)</f>
        <v>0</v>
      </c>
      <c r="J143" s="20">
        <f>IF('Model inputs'!J92="","",'Model inputs'!J92)</f>
        <v>0</v>
      </c>
      <c r="K143" s="20">
        <f>IF('Model inputs'!K92="","",'Model inputs'!K92)</f>
        <v>0</v>
      </c>
      <c r="L143" s="20">
        <f>IF('Model inputs'!L92="","",'Model inputs'!L92)</f>
        <v>0</v>
      </c>
      <c r="M143" s="20">
        <f>IF('Model inputs'!M92="","",'Model inputs'!M92)</f>
        <v>0</v>
      </c>
      <c r="N143" s="20">
        <f>IF('Model inputs'!N92="","",'Model inputs'!N92)</f>
        <v>0</v>
      </c>
      <c r="P143" s="20">
        <v>0</v>
      </c>
      <c r="Q143" s="20">
        <v>0</v>
      </c>
      <c r="R143" s="20">
        <v>0</v>
      </c>
      <c r="S143" s="20">
        <v>0</v>
      </c>
      <c r="T143" s="20">
        <v>0</v>
      </c>
      <c r="U143" s="20">
        <v>0</v>
      </c>
      <c r="V143" s="20">
        <v>0</v>
      </c>
      <c r="W143" s="20">
        <v>0</v>
      </c>
    </row>
    <row r="144">
      <c r="A144" t="inlineStr" s="19">
        <is>
          <t xml:space="preserve">Paid standalone fixes · Cumulative operating cash · Downside · Downside</t>
        </is>
      </c>
      <c r="B144" s="20">
        <f>IF('Model inputs'!B93="","",'Model inputs'!B93)</f>
        <v>0</v>
      </c>
      <c r="C144" s="20">
        <f>IF('Model inputs'!C93="","",'Model inputs'!C93)</f>
        <v>0</v>
      </c>
      <c r="D144" s="20">
        <f>IF('Model inputs'!D93="","",'Model inputs'!D93)</f>
        <v>0</v>
      </c>
      <c r="E144" s="20">
        <f>IF('Model inputs'!E93="","",'Model inputs'!E93)</f>
        <v>0</v>
      </c>
      <c r="F144" s="20">
        <f>IF('Model inputs'!F93="","",'Model inputs'!F93)</f>
        <v>0</v>
      </c>
      <c r="G144" s="20">
        <f>IF('Model inputs'!G93="","",'Model inputs'!G93)</f>
        <v>0</v>
      </c>
      <c r="H144" s="20">
        <f>IF('Model inputs'!H93="","",'Model inputs'!H93)</f>
        <v>0</v>
      </c>
      <c r="I144" s="20">
        <f>IF('Model inputs'!I93="","",'Model inputs'!I93)</f>
        <v>0</v>
      </c>
      <c r="J144" s="20">
        <f>IF('Model inputs'!J93="","",'Model inputs'!J93)</f>
        <v>0</v>
      </c>
      <c r="K144" s="20">
        <f>IF('Model inputs'!K93="","",'Model inputs'!K93)</f>
        <v>0</v>
      </c>
      <c r="L144" s="20">
        <f>IF('Model inputs'!L93="","",'Model inputs'!L93)</f>
        <v>0</v>
      </c>
      <c r="M144" s="20">
        <f>IF('Model inputs'!M93="","",'Model inputs'!M93)</f>
        <v>0</v>
      </c>
      <c r="N144" s="20">
        <f>IF('Model inputs'!N93="","",'Model inputs'!N93)</f>
        <v>0</v>
      </c>
      <c r="P144" s="20">
        <v>0</v>
      </c>
      <c r="Q144" s="20">
        <v>0</v>
      </c>
      <c r="R144" s="20">
        <v>0</v>
      </c>
      <c r="S144" s="20">
        <v>0</v>
      </c>
      <c r="T144" s="20">
        <v>0</v>
      </c>
      <c r="U144" s="20">
        <v>0</v>
      </c>
      <c r="V144" s="20">
        <v>0</v>
      </c>
      <c r="W144" s="20">
        <v>0</v>
      </c>
    </row>
    <row r="145">
      <c r="A145" t="inlineStr" s="19">
        <is>
          <t xml:space="preserve">Pay per fix revenue · Cumulative operating cash · Upside · Upside</t>
        </is>
      </c>
      <c r="B145" s="20">
        <f>IF('Model inputs'!B56="","",'Model inputs'!B56)</f>
        <v>0</v>
      </c>
      <c r="C145" s="20">
        <f>IF('Model inputs'!C56="","",'Model inputs'!C56)</f>
        <v>0</v>
      </c>
      <c r="D145" s="20">
        <f>IF('Model inputs'!D56="","",'Model inputs'!D56)</f>
        <v>0</v>
      </c>
      <c r="E145" s="20">
        <f>IF('Model inputs'!E56="","",'Model inputs'!E56)</f>
        <v>0</v>
      </c>
      <c r="F145" s="20">
        <f>IF('Model inputs'!F56="","",'Model inputs'!F56)</f>
        <v>0</v>
      </c>
      <c r="G145" s="20">
        <f>IF('Model inputs'!G56="","",'Model inputs'!G56)</f>
        <v>0</v>
      </c>
      <c r="H145" s="20">
        <f>IF('Model inputs'!H56="","",'Model inputs'!H56)</f>
        <v>0</v>
      </c>
      <c r="I145" s="20">
        <f>IF('Model inputs'!I56="","",'Model inputs'!I56)</f>
        <v>0</v>
      </c>
      <c r="J145" s="20">
        <f>IF('Model inputs'!J56="","",'Model inputs'!J56)</f>
        <v>0</v>
      </c>
      <c r="K145" s="20">
        <f>IF('Model inputs'!K56="","",'Model inputs'!K56)</f>
        <v>0</v>
      </c>
      <c r="L145" s="20">
        <f>IF('Model inputs'!L56="","",'Model inputs'!L56)</f>
        <v>0</v>
      </c>
      <c r="M145" s="20">
        <f>IF('Model inputs'!M56="","",'Model inputs'!M56)</f>
        <v>0</v>
      </c>
      <c r="N145" s="20">
        <f>IF('Model inputs'!N56="","",'Model inputs'!N56)</f>
        <v>0</v>
      </c>
      <c r="P145" s="20">
        <f>'Model inputs'!P143*'Model inputs'!O94</f>
        <v>0</v>
      </c>
      <c r="Q145" s="20">
        <f>'Model inputs'!Q143*'Model inputs'!O94</f>
        <v>0</v>
      </c>
      <c r="R145" s="20">
        <f>'Model inputs'!R143*'Model inputs'!O94</f>
        <v>0</v>
      </c>
      <c r="S145" s="20">
        <f>'Model inputs'!S143*'Model inputs'!O94</f>
        <v>0</v>
      </c>
      <c r="T145" s="20">
        <f>'Model inputs'!T143*'Model inputs'!O94</f>
        <v>0</v>
      </c>
      <c r="U145" s="20">
        <f>'Model inputs'!U143*'Model inputs'!O94</f>
        <v>0</v>
      </c>
      <c r="V145" s="20">
        <f>'Model inputs'!V143*'Model inputs'!O94</f>
        <v>0</v>
      </c>
      <c r="W145" s="20">
        <f>'Model inputs'!W143*'Model inputs'!O94</f>
        <v>0</v>
      </c>
    </row>
    <row r="146">
      <c r="A146" t="inlineStr" s="19">
        <is>
          <t xml:space="preserve">Pay per fix revenue · Cumulative operating cash · Downside · Downside</t>
        </is>
      </c>
      <c r="B146" s="20">
        <f>IF('Model inputs'!B57="","",'Model inputs'!B57)</f>
        <v>0</v>
      </c>
      <c r="C146" s="20">
        <f>IF('Model inputs'!C57="","",'Model inputs'!C57)</f>
        <v>0</v>
      </c>
      <c r="D146" s="20">
        <f>IF('Model inputs'!D57="","",'Model inputs'!D57)</f>
        <v>0</v>
      </c>
      <c r="E146" s="20">
        <f>IF('Model inputs'!E57="","",'Model inputs'!E57)</f>
        <v>0</v>
      </c>
      <c r="F146" s="20">
        <f>IF('Model inputs'!F57="","",'Model inputs'!F57)</f>
        <v>0</v>
      </c>
      <c r="G146" s="20">
        <f>IF('Model inputs'!G57="","",'Model inputs'!G57)</f>
        <v>0</v>
      </c>
      <c r="H146" s="20">
        <f>IF('Model inputs'!H57="","",'Model inputs'!H57)</f>
        <v>0</v>
      </c>
      <c r="I146" s="20">
        <f>IF('Model inputs'!I57="","",'Model inputs'!I57)</f>
        <v>0</v>
      </c>
      <c r="J146" s="20">
        <f>IF('Model inputs'!J57="","",'Model inputs'!J57)</f>
        <v>0</v>
      </c>
      <c r="K146" s="20">
        <f>IF('Model inputs'!K57="","",'Model inputs'!K57)</f>
        <v>0</v>
      </c>
      <c r="L146" s="20">
        <f>IF('Model inputs'!L57="","",'Model inputs'!L57)</f>
        <v>0</v>
      </c>
      <c r="M146" s="20">
        <f>IF('Model inputs'!M57="","",'Model inputs'!M57)</f>
        <v>0</v>
      </c>
      <c r="N146" s="20">
        <f>IF('Model inputs'!N57="","",'Model inputs'!N57)</f>
        <v>0</v>
      </c>
      <c r="P146" s="20">
        <f>'Model inputs'!P144*'Model inputs'!O95</f>
        <v>0</v>
      </c>
      <c r="Q146" s="20">
        <f>'Model inputs'!Q144*'Model inputs'!O95</f>
        <v>0</v>
      </c>
      <c r="R146" s="20">
        <f>'Model inputs'!R144*'Model inputs'!O95</f>
        <v>0</v>
      </c>
      <c r="S146" s="20">
        <f>'Model inputs'!S144*'Model inputs'!O95</f>
        <v>0</v>
      </c>
      <c r="T146" s="20">
        <f>'Model inputs'!T144*'Model inputs'!O95</f>
        <v>0</v>
      </c>
      <c r="U146" s="20">
        <f>'Model inputs'!U144*'Model inputs'!O95</f>
        <v>0</v>
      </c>
      <c r="V146" s="20">
        <f>'Model inputs'!V144*'Model inputs'!O95</f>
        <v>0</v>
      </c>
      <c r="W146" s="20">
        <f>'Model inputs'!W144*'Model inputs'!O95</f>
        <v>0</v>
      </c>
    </row>
    <row r="147">
      <c r="A147" t="inlineStr" s="19">
        <is>
          <t xml:space="preserve">Team subscription revenue · Cumulative operating cash · Upside · Upside</t>
        </is>
      </c>
      <c r="B147" s="20">
        <f>IF('Model inputs'!B66="","",'Model inputs'!B66)</f>
        <v>0</v>
      </c>
      <c r="C147" s="20">
        <f>IF('Model inputs'!C66="","",'Model inputs'!C66)</f>
        <v>199</v>
      </c>
      <c r="D147" s="20">
        <f>IF('Model inputs'!D66="","",'Model inputs'!D66)</f>
        <v>398</v>
      </c>
      <c r="E147" s="20">
        <f>IF('Model inputs'!E66="","",'Model inputs'!E66)</f>
        <v>796</v>
      </c>
      <c r="F147" s="20">
        <f>IF('Model inputs'!F66="","",'Model inputs'!F66)</f>
        <v>1194</v>
      </c>
      <c r="G147" s="20">
        <f>IF('Model inputs'!G66="","",'Model inputs'!G66)</f>
        <v>1791</v>
      </c>
      <c r="H147" s="20">
        <f>IF('Model inputs'!H66="","",'Model inputs'!H66)</f>
        <v>2388</v>
      </c>
      <c r="I147" s="20">
        <f>IF('Model inputs'!I66="","",'Model inputs'!I66)</f>
        <v>3383</v>
      </c>
      <c r="J147" s="20">
        <f>IF('Model inputs'!J66="","",'Model inputs'!J66)</f>
        <v>4577</v>
      </c>
      <c r="K147" s="20">
        <f>IF('Model inputs'!K66="","",'Model inputs'!K66)</f>
        <v>5970</v>
      </c>
      <c r="L147" s="20">
        <f>IF('Model inputs'!L66="","",'Model inputs'!L66)</f>
        <v>7960</v>
      </c>
      <c r="M147" s="20">
        <f>IF('Model inputs'!M66="","",'Model inputs'!M66)</f>
        <v>9950</v>
      </c>
      <c r="N147" s="20">
        <f>IF('Model inputs'!N66="","",'Model inputs'!N66)</f>
        <v>11940</v>
      </c>
      <c r="P147" s="20">
        <f>'Model inputs'!P123*'Model inputs'!O98</f>
        <v>0</v>
      </c>
      <c r="Q147" s="20">
        <f>'Model inputs'!Q123*'Model inputs'!O98</f>
        <v>0</v>
      </c>
      <c r="R147" s="20">
        <f>'Model inputs'!R123*'Model inputs'!O98</f>
        <v>0</v>
      </c>
      <c r="S147" s="20">
        <f>'Model inputs'!S123*'Model inputs'!O98</f>
        <v>0</v>
      </c>
      <c r="T147" s="20">
        <f>'Model inputs'!T123*'Model inputs'!O98</f>
        <v>0</v>
      </c>
      <c r="U147" s="20">
        <f>'Model inputs'!U123*'Model inputs'!O98</f>
        <v>0</v>
      </c>
      <c r="V147" s="20">
        <f>'Model inputs'!V123*'Model inputs'!O98</f>
        <v>0</v>
      </c>
      <c r="W147" s="20">
        <f>'Model inputs'!W123*'Model inputs'!O98</f>
        <v>0</v>
      </c>
    </row>
    <row r="148">
      <c r="A148" t="inlineStr" s="19">
        <is>
          <t xml:space="preserve">Team subscription revenue · Cumulative operating cash · Downside · Downside</t>
        </is>
      </c>
      <c r="B148" s="20">
        <f>IF('Model inputs'!B67="","",'Model inputs'!B67)</f>
        <v>0</v>
      </c>
      <c r="C148" s="20">
        <f>IF('Model inputs'!C67="","",'Model inputs'!C67)</f>
        <v>0</v>
      </c>
      <c r="D148" s="20">
        <f>IF('Model inputs'!D67="","",'Model inputs'!D67)</f>
        <v>0</v>
      </c>
      <c r="E148" s="20">
        <f>IF('Model inputs'!E67="","",'Model inputs'!E67)</f>
        <v>199</v>
      </c>
      <c r="F148" s="20">
        <f>IF('Model inputs'!F67="","",'Model inputs'!F67)</f>
        <v>199</v>
      </c>
      <c r="G148" s="20">
        <f>IF('Model inputs'!G67="","",'Model inputs'!G67)</f>
        <v>398</v>
      </c>
      <c r="H148" s="20">
        <f>IF('Model inputs'!H67="","",'Model inputs'!H67)</f>
        <v>398</v>
      </c>
      <c r="I148" s="20">
        <f>IF('Model inputs'!I67="","",'Model inputs'!I67)</f>
        <v>597</v>
      </c>
      <c r="J148" s="20">
        <f>IF('Model inputs'!J67="","",'Model inputs'!J67)</f>
        <v>796</v>
      </c>
      <c r="K148" s="20">
        <f>IF('Model inputs'!K67="","",'Model inputs'!K67)</f>
        <v>995</v>
      </c>
      <c r="L148" s="20">
        <f>IF('Model inputs'!L67="","",'Model inputs'!L67)</f>
        <v>1393</v>
      </c>
      <c r="M148" s="20">
        <f>IF('Model inputs'!M67="","",'Model inputs'!M67)</f>
        <v>1791</v>
      </c>
      <c r="N148" s="20">
        <f>IF('Model inputs'!N67="","",'Model inputs'!N67)</f>
        <v>2388</v>
      </c>
      <c r="P148" s="20">
        <f>'Model inputs'!P124*'Model inputs'!O99</f>
        <v>0</v>
      </c>
      <c r="Q148" s="20">
        <f>'Model inputs'!Q124*'Model inputs'!O99</f>
        <v>0</v>
      </c>
      <c r="R148" s="20">
        <f>'Model inputs'!R124*'Model inputs'!O99</f>
        <v>0</v>
      </c>
      <c r="S148" s="20">
        <f>'Model inputs'!S124*'Model inputs'!O99</f>
        <v>0</v>
      </c>
      <c r="T148" s="20">
        <f>'Model inputs'!T124*'Model inputs'!O99</f>
        <v>0</v>
      </c>
      <c r="U148" s="20">
        <f>'Model inputs'!U124*'Model inputs'!O99</f>
        <v>0</v>
      </c>
      <c r="V148" s="20">
        <f>'Model inputs'!V124*'Model inputs'!O99</f>
        <v>0</v>
      </c>
      <c r="W148" s="20">
        <f>'Model inputs'!W124*'Model inputs'!O99</f>
        <v>0</v>
      </c>
    </row>
    <row r="149">
      <c r="A149" t="inlineStr" s="19">
        <is>
          <t xml:space="preserve">Team successful fixes · Cumulative operating cash · Upside · Upside</t>
        </is>
      </c>
      <c r="B149" s="20">
        <f>'Model inputs'!B96*'Model inputs'!O152</f>
        <v>0</v>
      </c>
      <c r="C149" s="20">
        <f>'Model inputs'!C96*'Model inputs'!O152</f>
        <v>10</v>
      </c>
      <c r="D149" s="20">
        <f>'Model inputs'!D96*'Model inputs'!O152</f>
        <v>20</v>
      </c>
      <c r="E149" s="20">
        <f>'Model inputs'!E96*'Model inputs'!O152</f>
        <v>40</v>
      </c>
      <c r="F149" s="20">
        <f>'Model inputs'!F96*'Model inputs'!O152</f>
        <v>60</v>
      </c>
      <c r="G149" s="20">
        <f>'Model inputs'!G96*'Model inputs'!O152</f>
        <v>90</v>
      </c>
      <c r="H149" s="20">
        <f>'Model inputs'!H96*'Model inputs'!O152</f>
        <v>120</v>
      </c>
      <c r="I149" s="20">
        <f>'Model inputs'!I96*'Model inputs'!O152</f>
        <v>170</v>
      </c>
      <c r="J149" s="20">
        <f>'Model inputs'!J96*'Model inputs'!O152</f>
        <v>230</v>
      </c>
      <c r="K149" s="20">
        <f>'Model inputs'!K96*'Model inputs'!O152</f>
        <v>300</v>
      </c>
      <c r="L149" s="20">
        <f>'Model inputs'!L96*'Model inputs'!O152</f>
        <v>400</v>
      </c>
      <c r="M149" s="20">
        <f>'Model inputs'!M96*'Model inputs'!O152</f>
        <v>500</v>
      </c>
      <c r="N149" s="20">
        <f>'Model inputs'!N96*'Model inputs'!O152</f>
        <v>600</v>
      </c>
      <c r="P149" s="20">
        <f>'Model inputs'!P123*'Model inputs'!O152</f>
        <v>0</v>
      </c>
      <c r="Q149" s="20">
        <f>'Model inputs'!Q123*'Model inputs'!O152</f>
        <v>0</v>
      </c>
      <c r="R149" s="20">
        <f>'Model inputs'!R123*'Model inputs'!O152</f>
        <v>0</v>
      </c>
      <c r="S149" s="20">
        <f>'Model inputs'!S123*'Model inputs'!O152</f>
        <v>0</v>
      </c>
      <c r="T149" s="20">
        <f>'Model inputs'!T123*'Model inputs'!O152</f>
        <v>0</v>
      </c>
      <c r="U149" s="20">
        <f>'Model inputs'!U123*'Model inputs'!O152</f>
        <v>0</v>
      </c>
      <c r="V149" s="20">
        <f>'Model inputs'!V123*'Model inputs'!O152</f>
        <v>0</v>
      </c>
      <c r="W149" s="20">
        <f>'Model inputs'!W123*'Model inputs'!O152</f>
        <v>0</v>
      </c>
    </row>
    <row r="150">
      <c r="A150" t="inlineStr" s="19">
        <is>
          <t xml:space="preserve">Team successful fixes · Cumulative operating cash · Downside · Downside</t>
        </is>
      </c>
      <c r="B150" s="20">
        <f>'Model inputs'!B97*'Model inputs'!O153</f>
        <v>0</v>
      </c>
      <c r="C150" s="20">
        <f>'Model inputs'!C97*'Model inputs'!O153</f>
        <v>0</v>
      </c>
      <c r="D150" s="20">
        <f>'Model inputs'!D97*'Model inputs'!O153</f>
        <v>0</v>
      </c>
      <c r="E150" s="20">
        <f>'Model inputs'!E97*'Model inputs'!O153</f>
        <v>10</v>
      </c>
      <c r="F150" s="20">
        <f>'Model inputs'!F97*'Model inputs'!O153</f>
        <v>10</v>
      </c>
      <c r="G150" s="20">
        <f>'Model inputs'!G97*'Model inputs'!O153</f>
        <v>20</v>
      </c>
      <c r="H150" s="20">
        <f>'Model inputs'!H97*'Model inputs'!O153</f>
        <v>20</v>
      </c>
      <c r="I150" s="20">
        <f>'Model inputs'!I97*'Model inputs'!O153</f>
        <v>30</v>
      </c>
      <c r="J150" s="20">
        <f>'Model inputs'!J97*'Model inputs'!O153</f>
        <v>40</v>
      </c>
      <c r="K150" s="20">
        <f>'Model inputs'!K97*'Model inputs'!O153</f>
        <v>50</v>
      </c>
      <c r="L150" s="20">
        <f>'Model inputs'!L97*'Model inputs'!O153</f>
        <v>70</v>
      </c>
      <c r="M150" s="20">
        <f>'Model inputs'!M97*'Model inputs'!O153</f>
        <v>90</v>
      </c>
      <c r="N150" s="20">
        <f>'Model inputs'!N97*'Model inputs'!O153</f>
        <v>120</v>
      </c>
      <c r="P150" s="20">
        <f>'Model inputs'!P124*'Model inputs'!O153</f>
        <v>0</v>
      </c>
      <c r="Q150" s="20">
        <f>'Model inputs'!Q124*'Model inputs'!O153</f>
        <v>0</v>
      </c>
      <c r="R150" s="20">
        <f>'Model inputs'!R124*'Model inputs'!O153</f>
        <v>0</v>
      </c>
      <c r="S150" s="20">
        <f>'Model inputs'!S124*'Model inputs'!O153</f>
        <v>0</v>
      </c>
      <c r="T150" s="20">
        <f>'Model inputs'!T124*'Model inputs'!O153</f>
        <v>0</v>
      </c>
      <c r="U150" s="20">
        <f>'Model inputs'!U124*'Model inputs'!O153</f>
        <v>0</v>
      </c>
      <c r="V150" s="20">
        <f>'Model inputs'!V124*'Model inputs'!O153</f>
        <v>0</v>
      </c>
      <c r="W150" s="20">
        <f>'Model inputs'!W124*'Model inputs'!O153</f>
        <v>0</v>
      </c>
    </row>
    <row r="151">
      <c r="A151" t="inlineStr" s="19">
        <is>
          <t xml:space="preserve">Free successful fixes · Cumulative cash if hired at earliest month</t>
        </is>
      </c>
      <c r="B151" s="20">
        <f>IF('Model inputs'!B40="","",'Model inputs'!B40)</f>
        <v>0</v>
      </c>
      <c r="C151" s="20">
        <f>IF('Model inputs'!C40="","",'Model inputs'!C40)</f>
        <v>3</v>
      </c>
      <c r="D151" s="20">
        <f>IF('Model inputs'!D40="","",'Model inputs'!D40)</f>
        <v>6</v>
      </c>
      <c r="E151" s="20">
        <f>IF('Model inputs'!E40="","",'Model inputs'!E40)</f>
        <v>10</v>
      </c>
      <c r="F151" s="20">
        <f>IF('Model inputs'!F40="","",'Model inputs'!F40)</f>
        <v>10</v>
      </c>
      <c r="G151" s="20">
        <f>IF('Model inputs'!G40="","",'Model inputs'!G40)</f>
        <v>10</v>
      </c>
      <c r="H151" s="20">
        <f>IF('Model inputs'!H40="","",'Model inputs'!H40)</f>
        <v>10</v>
      </c>
      <c r="I151" s="20">
        <f>IF('Model inputs'!I40="","",'Model inputs'!I40)</f>
        <v>10</v>
      </c>
      <c r="J151" s="20">
        <f>IF('Model inputs'!J40="","",'Model inputs'!J40)</f>
        <v>10</v>
      </c>
      <c r="K151" s="20">
        <f>IF('Model inputs'!K40="","",'Model inputs'!K40)</f>
        <v>10</v>
      </c>
      <c r="L151" s="20">
        <f>IF('Model inputs'!L40="","",'Model inputs'!L40)</f>
        <v>10</v>
      </c>
      <c r="M151" s="20">
        <f>IF('Model inputs'!M40="","",'Model inputs'!M40)</f>
        <v>10</v>
      </c>
      <c r="N151" s="20">
        <f>IF('Model inputs'!N40="","",'Model inputs'!N40)</f>
        <v>10</v>
      </c>
      <c r="P151" s="20">
        <f>'Model inputs'!P158*'Model inputs'!O37</f>
        <v>0</v>
      </c>
      <c r="Q151" s="20">
        <f>'Model inputs'!Q158*'Model inputs'!O37</f>
        <v>0</v>
      </c>
      <c r="R151" s="20">
        <f>'Model inputs'!R158*'Model inputs'!O37</f>
        <v>0</v>
      </c>
      <c r="S151" s="20">
        <f>'Model inputs'!S158*'Model inputs'!O37</f>
        <v>0</v>
      </c>
      <c r="T151" s="20">
        <f>'Model inputs'!T158*'Model inputs'!O37</f>
        <v>0</v>
      </c>
      <c r="U151" s="20">
        <f>'Model inputs'!U158*'Model inputs'!O37</f>
        <v>0</v>
      </c>
      <c r="V151" s="20">
        <f>'Model inputs'!V158*'Model inputs'!O37</f>
        <v>0</v>
      </c>
      <c r="W151" s="20">
        <f>'Model inputs'!W158*'Model inputs'!O37</f>
        <v>0</v>
      </c>
    </row>
    <row r="152">
      <c r="A152" t="inlineStr" s="19">
        <is>
          <t xml:space="preserve">Included fixes per team · Team successful fixes · Cumulative operating cash · Upside · Upside · Upside</t>
        </is>
      </c>
      <c r="O152" s="8">
        <f>'Pricing and operating assumptio'!B6</f>
        <v>10</v>
      </c>
    </row>
    <row r="153">
      <c r="A153" t="inlineStr" s="19">
        <is>
          <t xml:space="preserve">Included fixes per team · Team successful fixes · Cumulative operating cash · Downside · Downside · Downside</t>
        </is>
      </c>
      <c r="O153" s="8">
        <f>'Pricing and operating assumptio'!B6</f>
        <v>10</v>
      </c>
    </row>
    <row r="154">
      <c r="A154" t="inlineStr" s="19">
        <is>
          <t xml:space="preserve">Paid delivery cost · Cumulative cash if hired at earliest month</t>
        </is>
      </c>
      <c r="B154" s="20">
        <f>IF('Model inputs'!B52="","",'Model inputs'!B52)</f>
        <v>0</v>
      </c>
      <c r="C154" s="20">
        <f>IF('Model inputs'!C52="","",'Model inputs'!C52)</f>
        <v>0</v>
      </c>
      <c r="D154" s="20">
        <f>IF('Model inputs'!D52="","",'Model inputs'!D52)</f>
        <v>15</v>
      </c>
      <c r="E154" s="20">
        <f>IF('Model inputs'!E52="","",'Model inputs'!E52)</f>
        <v>30</v>
      </c>
      <c r="F154" s="20">
        <f>IF('Model inputs'!F52="","",'Model inputs'!F52)</f>
        <v>45</v>
      </c>
      <c r="G154" s="20">
        <f>IF('Model inputs'!G52="","",'Model inputs'!G52)</f>
        <v>60</v>
      </c>
      <c r="H154" s="20">
        <f>IF('Model inputs'!H52="","",'Model inputs'!H52)</f>
        <v>75</v>
      </c>
      <c r="I154" s="20">
        <f>IF('Model inputs'!I52="","",'Model inputs'!I52)</f>
        <v>120</v>
      </c>
      <c r="J154" s="20">
        <f>IF('Model inputs'!J52="","",'Model inputs'!J52)</f>
        <v>165</v>
      </c>
      <c r="K154" s="20">
        <f>IF('Model inputs'!K52="","",'Model inputs'!K52)</f>
        <v>225</v>
      </c>
      <c r="L154" s="20">
        <f>IF('Model inputs'!L52="","",'Model inputs'!L52)</f>
        <v>300</v>
      </c>
      <c r="M154" s="20">
        <f>IF('Model inputs'!M52="","",'Model inputs'!M52)</f>
        <v>375</v>
      </c>
      <c r="N154" s="20">
        <f>IF('Model inputs'!N52="","",'Model inputs'!N52)</f>
        <v>450</v>
      </c>
      <c r="P154" s="20">
        <f>('Model inputs'!P162+'Model inputs'!P157+'Model inputs'!P159)*'Model inputs'!O13</f>
        <v>0</v>
      </c>
      <c r="Q154" s="20">
        <f>('Model inputs'!Q162+'Model inputs'!Q157+'Model inputs'!Q159)*'Model inputs'!O13</f>
        <v>0</v>
      </c>
      <c r="R154" s="20">
        <f>('Model inputs'!R162+'Model inputs'!R157+'Model inputs'!R159)*'Model inputs'!O13</f>
        <v>0</v>
      </c>
      <c r="S154" s="20">
        <f>('Model inputs'!S162+'Model inputs'!S157+'Model inputs'!S159)*'Model inputs'!O13</f>
        <v>0</v>
      </c>
      <c r="T154" s="20">
        <f>('Model inputs'!T162+'Model inputs'!T157+'Model inputs'!T159)*'Model inputs'!O13</f>
        <v>0</v>
      </c>
      <c r="U154" s="20">
        <f>('Model inputs'!U162+'Model inputs'!U157+'Model inputs'!U159)*'Model inputs'!O13</f>
        <v>0</v>
      </c>
      <c r="V154" s="20">
        <f>('Model inputs'!V162+'Model inputs'!V157+'Model inputs'!V159)*'Model inputs'!O13</f>
        <v>0</v>
      </c>
      <c r="W154" s="20">
        <f>('Model inputs'!W162+'Model inputs'!W157+'Model inputs'!W159)*'Model inputs'!O13</f>
        <v>0</v>
      </c>
    </row>
    <row r="155">
      <c r="A155" t="inlineStr" s="19">
        <is>
          <t xml:space="preserve">Revenue · Cumulative cash if hired at earliest month</t>
        </is>
      </c>
      <c r="B155" s="15">
        <f>IF('Model inputs'!B62="","",'Model inputs'!B62)</f>
        <v>0</v>
      </c>
      <c r="C155" s="15">
        <f>IF('Model inputs'!C62="","",'Model inputs'!C62)</f>
        <v>0</v>
      </c>
      <c r="D155" s="15">
        <f>IF('Model inputs'!D62="","",'Model inputs'!D62)</f>
        <v>199</v>
      </c>
      <c r="E155" s="15">
        <f>IF('Model inputs'!E62="","",'Model inputs'!E62)</f>
        <v>398</v>
      </c>
      <c r="F155" s="15">
        <f>IF('Model inputs'!F62="","",'Model inputs'!F62)</f>
        <v>597</v>
      </c>
      <c r="G155" s="15">
        <f>IF('Model inputs'!G62="","",'Model inputs'!G62)</f>
        <v>796</v>
      </c>
      <c r="H155" s="15">
        <f>IF('Model inputs'!H62="","",'Model inputs'!H62)</f>
        <v>995</v>
      </c>
      <c r="I155" s="15">
        <f>IF('Model inputs'!I62="","",'Model inputs'!I62)</f>
        <v>1592</v>
      </c>
      <c r="J155" s="15">
        <f>IF('Model inputs'!J62="","",'Model inputs'!J62)</f>
        <v>2189</v>
      </c>
      <c r="K155" s="15">
        <f>IF('Model inputs'!K62="","",'Model inputs'!K62)</f>
        <v>2985</v>
      </c>
      <c r="L155" s="15">
        <f>IF('Model inputs'!L62="","",'Model inputs'!L62)</f>
        <v>3980</v>
      </c>
      <c r="M155" s="15">
        <f>IF('Model inputs'!M62="","",'Model inputs'!M62)</f>
        <v>4975</v>
      </c>
      <c r="N155" s="15">
        <f>IF('Model inputs'!N62="","",'Model inputs'!N62)</f>
        <v>5970</v>
      </c>
      <c r="P155" s="15">
        <f>'Model inputs'!P161+'Model inputs'!P156+'Model inputs'!P160</f>
        <v>0</v>
      </c>
      <c r="Q155" s="15">
        <f>'Model inputs'!Q161+'Model inputs'!Q156+'Model inputs'!Q160</f>
        <v>0</v>
      </c>
      <c r="R155" s="15">
        <f>'Model inputs'!R161+'Model inputs'!R156+'Model inputs'!R160</f>
        <v>0</v>
      </c>
      <c r="S155" s="15">
        <f>'Model inputs'!S161+'Model inputs'!S156+'Model inputs'!S160</f>
        <v>0</v>
      </c>
      <c r="T155" s="15">
        <f>'Model inputs'!T161+'Model inputs'!T156+'Model inputs'!T160</f>
        <v>0</v>
      </c>
      <c r="U155" s="15">
        <f>'Model inputs'!U161+'Model inputs'!U156+'Model inputs'!U160</f>
        <v>0</v>
      </c>
      <c r="V155" s="15">
        <f>'Model inputs'!V161+'Model inputs'!V156+'Model inputs'!V160</f>
        <v>0</v>
      </c>
      <c r="W155" s="15">
        <f>'Model inputs'!W161+'Model inputs'!W156+'Model inputs'!W160</f>
        <v>0</v>
      </c>
    </row>
    <row r="156">
      <c r="A156" t="inlineStr" s="19">
        <is>
          <t xml:space="preserve">Extra fix revenue · Cumulative cash if hired at earliest month</t>
        </is>
      </c>
      <c r="B156" s="20">
        <f>IF('Model inputs'!B28="","",'Model inputs'!B28)</f>
        <v>0</v>
      </c>
      <c r="C156" s="20">
        <f>IF('Model inputs'!C28="","",'Model inputs'!C28)</f>
        <v>0</v>
      </c>
      <c r="D156" s="20">
        <f>IF('Model inputs'!D28="","",'Model inputs'!D28)</f>
        <v>0</v>
      </c>
      <c r="E156" s="20">
        <f>IF('Model inputs'!E28="","",'Model inputs'!E28)</f>
        <v>0</v>
      </c>
      <c r="F156" s="20">
        <f>IF('Model inputs'!F28="","",'Model inputs'!F28)</f>
        <v>0</v>
      </c>
      <c r="G156" s="20">
        <f>IF('Model inputs'!G28="","",'Model inputs'!G28)</f>
        <v>0</v>
      </c>
      <c r="H156" s="20">
        <f>IF('Model inputs'!H28="","",'Model inputs'!H28)</f>
        <v>0</v>
      </c>
      <c r="I156" s="20">
        <f>IF('Model inputs'!I28="","",'Model inputs'!I28)</f>
        <v>0</v>
      </c>
      <c r="J156" s="20">
        <f>IF('Model inputs'!J28="","",'Model inputs'!J28)</f>
        <v>0</v>
      </c>
      <c r="K156" s="20">
        <f>IF('Model inputs'!K28="","",'Model inputs'!K28)</f>
        <v>0</v>
      </c>
      <c r="L156" s="20">
        <f>IF('Model inputs'!L28="","",'Model inputs'!L28)</f>
        <v>0</v>
      </c>
      <c r="M156" s="20">
        <f>IF('Model inputs'!M28="","",'Model inputs'!M28)</f>
        <v>0</v>
      </c>
      <c r="N156" s="20">
        <f>IF('Model inputs'!N28="","",'Model inputs'!N28)</f>
        <v>0</v>
      </c>
      <c r="P156" s="20">
        <f>'Model inputs'!P157*'Model inputs'!O27</f>
        <v>0</v>
      </c>
      <c r="Q156" s="20">
        <f>'Model inputs'!Q157*'Model inputs'!O27</f>
        <v>0</v>
      </c>
      <c r="R156" s="20">
        <f>'Model inputs'!R157*'Model inputs'!O27</f>
        <v>0</v>
      </c>
      <c r="S156" s="20">
        <f>'Model inputs'!S157*'Model inputs'!O27</f>
        <v>0</v>
      </c>
      <c r="T156" s="20">
        <f>'Model inputs'!T157*'Model inputs'!O27</f>
        <v>0</v>
      </c>
      <c r="U156" s="20">
        <f>'Model inputs'!U157*'Model inputs'!O27</f>
        <v>0</v>
      </c>
      <c r="V156" s="20">
        <f>'Model inputs'!V157*'Model inputs'!O27</f>
        <v>0</v>
      </c>
      <c r="W156" s="20">
        <f>'Model inputs'!W157*'Model inputs'!O27</f>
        <v>0</v>
      </c>
    </row>
    <row r="157">
      <c r="A157" t="inlineStr" s="19">
        <is>
          <t xml:space="preserve">Extra successful fixes · Cumulative cash if hired at earliest month</t>
        </is>
      </c>
      <c r="B157" s="20">
        <f>IF('Model inputs'!B32="","",'Model inputs'!B32)</f>
        <v>0</v>
      </c>
      <c r="C157" s="20">
        <f>IF('Model inputs'!C32="","",'Model inputs'!C32)</f>
        <v>0</v>
      </c>
      <c r="D157" s="20">
        <f>IF('Model inputs'!D32="","",'Model inputs'!D32)</f>
        <v>0</v>
      </c>
      <c r="E157" s="20">
        <f>IF('Model inputs'!E32="","",'Model inputs'!E32)</f>
        <v>0</v>
      </c>
      <c r="F157" s="20">
        <f>IF('Model inputs'!F32="","",'Model inputs'!F32)</f>
        <v>0</v>
      </c>
      <c r="G157" s="20">
        <f>IF('Model inputs'!G32="","",'Model inputs'!G32)</f>
        <v>0</v>
      </c>
      <c r="H157" s="20">
        <f>IF('Model inputs'!H32="","",'Model inputs'!H32)</f>
        <v>0</v>
      </c>
      <c r="I157" s="20">
        <f>IF('Model inputs'!I32="","",'Model inputs'!I32)</f>
        <v>0</v>
      </c>
      <c r="J157" s="20">
        <f>IF('Model inputs'!J32="","",'Model inputs'!J32)</f>
        <v>0</v>
      </c>
      <c r="K157" s="20">
        <f>IF('Model inputs'!K32="","",'Model inputs'!K32)</f>
        <v>0</v>
      </c>
      <c r="L157" s="20">
        <f>IF('Model inputs'!L32="","",'Model inputs'!L32)</f>
        <v>0</v>
      </c>
      <c r="M157" s="20">
        <f>IF('Model inputs'!M32="","",'Model inputs'!M32)</f>
        <v>0</v>
      </c>
      <c r="N157" s="20">
        <f>IF('Model inputs'!N32="","",'Model inputs'!N32)</f>
        <v>0</v>
      </c>
      <c r="P157" s="20">
        <f>'Model inputs'!P164*'Model inputs'!P163</f>
        <v>0</v>
      </c>
      <c r="Q157" s="20">
        <f>'Model inputs'!Q164*'Model inputs'!Q163</f>
        <v>0</v>
      </c>
      <c r="R157" s="20">
        <f>'Model inputs'!R164*'Model inputs'!R163</f>
        <v>0</v>
      </c>
      <c r="S157" s="20">
        <f>'Model inputs'!S164*'Model inputs'!S163</f>
        <v>0</v>
      </c>
      <c r="T157" s="20">
        <f>'Model inputs'!T164*'Model inputs'!T163</f>
        <v>0</v>
      </c>
      <c r="U157" s="20">
        <f>'Model inputs'!U164*'Model inputs'!U163</f>
        <v>0</v>
      </c>
      <c r="V157" s="20">
        <f>'Model inputs'!V164*'Model inputs'!V163</f>
        <v>0</v>
      </c>
      <c r="W157" s="20">
        <f>'Model inputs'!W164*'Model inputs'!W163</f>
        <v>0</v>
      </c>
    </row>
    <row r="158">
      <c r="A158" t="inlineStr" s="19">
        <is>
          <t xml:space="preserve">Free projects · Cumulative cash if hired at earliest month</t>
        </is>
      </c>
      <c r="B158" s="20">
        <f>IF('Model inputs'!B39="","",'Model inputs'!B39)</f>
        <v>0</v>
      </c>
      <c r="C158" s="20">
        <f>IF('Model inputs'!C39="","",'Model inputs'!C39)</f>
        <v>3</v>
      </c>
      <c r="D158" s="20">
        <f>IF('Model inputs'!D39="","",'Model inputs'!D39)</f>
        <v>6</v>
      </c>
      <c r="E158" s="20">
        <f>IF('Model inputs'!E39="","",'Model inputs'!E39)</f>
        <v>10</v>
      </c>
      <c r="F158" s="20">
        <f>IF('Model inputs'!F39="","",'Model inputs'!F39)</f>
        <v>10</v>
      </c>
      <c r="G158" s="20">
        <f>IF('Model inputs'!G39="","",'Model inputs'!G39)</f>
        <v>10</v>
      </c>
      <c r="H158" s="20">
        <f>IF('Model inputs'!H39="","",'Model inputs'!H39)</f>
        <v>10</v>
      </c>
      <c r="I158" s="20">
        <f>IF('Model inputs'!I39="","",'Model inputs'!I39)</f>
        <v>10</v>
      </c>
      <c r="J158" s="20">
        <f>IF('Model inputs'!J39="","",'Model inputs'!J39)</f>
        <v>10</v>
      </c>
      <c r="K158" s="20">
        <f>IF('Model inputs'!K39="","",'Model inputs'!K39)</f>
        <v>10</v>
      </c>
      <c r="L158" s="20">
        <f>IF('Model inputs'!L39="","",'Model inputs'!L39)</f>
        <v>10</v>
      </c>
      <c r="M158" s="20">
        <f>IF('Model inputs'!M39="","",'Model inputs'!M39)</f>
        <v>10</v>
      </c>
      <c r="N158" s="20">
        <f>IF('Model inputs'!N39="","",'Model inputs'!N39)</f>
        <v>10</v>
      </c>
      <c r="P158" s="20">
        <v>0</v>
      </c>
      <c r="Q158" s="20">
        <v>0</v>
      </c>
      <c r="R158" s="20">
        <v>0</v>
      </c>
      <c r="S158" s="20">
        <v>0</v>
      </c>
      <c r="T158" s="20">
        <v>0</v>
      </c>
      <c r="U158" s="20">
        <v>0</v>
      </c>
      <c r="V158" s="20">
        <v>0</v>
      </c>
      <c r="W158" s="20">
        <v>0</v>
      </c>
    </row>
    <row r="159">
      <c r="A159" t="inlineStr" s="19">
        <is>
          <t xml:space="preserve">Paid standalone fixes · Cumulative cash if hired at earliest month</t>
        </is>
      </c>
      <c r="B159" s="20">
        <f>IF('Model inputs'!B53="","",'Model inputs'!B53)</f>
        <v>0</v>
      </c>
      <c r="C159" s="20">
        <f>IF('Model inputs'!C53="","",'Model inputs'!C53)</f>
        <v>0</v>
      </c>
      <c r="D159" s="20">
        <f>IF('Model inputs'!D53="","",'Model inputs'!D53)</f>
        <v>0</v>
      </c>
      <c r="E159" s="20">
        <f>IF('Model inputs'!E53="","",'Model inputs'!E53)</f>
        <v>0</v>
      </c>
      <c r="F159" s="20">
        <f>IF('Model inputs'!F53="","",'Model inputs'!F53)</f>
        <v>0</v>
      </c>
      <c r="G159" s="20">
        <f>IF('Model inputs'!G53="","",'Model inputs'!G53)</f>
        <v>0</v>
      </c>
      <c r="H159" s="20">
        <f>IF('Model inputs'!H53="","",'Model inputs'!H53)</f>
        <v>0</v>
      </c>
      <c r="I159" s="20">
        <f>IF('Model inputs'!I53="","",'Model inputs'!I53)</f>
        <v>0</v>
      </c>
      <c r="J159" s="20">
        <f>IF('Model inputs'!J53="","",'Model inputs'!J53)</f>
        <v>0</v>
      </c>
      <c r="K159" s="20">
        <f>IF('Model inputs'!K53="","",'Model inputs'!K53)</f>
        <v>0</v>
      </c>
      <c r="L159" s="20">
        <f>IF('Model inputs'!L53="","",'Model inputs'!L53)</f>
        <v>0</v>
      </c>
      <c r="M159" s="20">
        <f>IF('Model inputs'!M53="","",'Model inputs'!M53)</f>
        <v>0</v>
      </c>
      <c r="N159" s="20">
        <f>IF('Model inputs'!N53="","",'Model inputs'!N53)</f>
        <v>0</v>
      </c>
      <c r="P159" s="20">
        <v>0</v>
      </c>
      <c r="Q159" s="20">
        <v>0</v>
      </c>
      <c r="R159" s="20">
        <v>0</v>
      </c>
      <c r="S159" s="20">
        <v>0</v>
      </c>
      <c r="T159" s="20">
        <v>0</v>
      </c>
      <c r="U159" s="20">
        <v>0</v>
      </c>
      <c r="V159" s="20">
        <v>0</v>
      </c>
      <c r="W159" s="20">
        <v>0</v>
      </c>
    </row>
    <row r="160">
      <c r="A160" t="inlineStr" s="19">
        <is>
          <t xml:space="preserve">Pay per fix revenue · Cumulative cash if hired at earliest month</t>
        </is>
      </c>
      <c r="B160" s="20">
        <f>IF('Model inputs'!B55="","",'Model inputs'!B55)</f>
        <v>0</v>
      </c>
      <c r="C160" s="20">
        <f>IF('Model inputs'!C55="","",'Model inputs'!C55)</f>
        <v>0</v>
      </c>
      <c r="D160" s="20">
        <f>IF('Model inputs'!D55="","",'Model inputs'!D55)</f>
        <v>0</v>
      </c>
      <c r="E160" s="20">
        <f>IF('Model inputs'!E55="","",'Model inputs'!E55)</f>
        <v>0</v>
      </c>
      <c r="F160" s="20">
        <f>IF('Model inputs'!F55="","",'Model inputs'!F55)</f>
        <v>0</v>
      </c>
      <c r="G160" s="20">
        <f>IF('Model inputs'!G55="","",'Model inputs'!G55)</f>
        <v>0</v>
      </c>
      <c r="H160" s="20">
        <f>IF('Model inputs'!H55="","",'Model inputs'!H55)</f>
        <v>0</v>
      </c>
      <c r="I160" s="20">
        <f>IF('Model inputs'!I55="","",'Model inputs'!I55)</f>
        <v>0</v>
      </c>
      <c r="J160" s="20">
        <f>IF('Model inputs'!J55="","",'Model inputs'!J55)</f>
        <v>0</v>
      </c>
      <c r="K160" s="20">
        <f>IF('Model inputs'!K55="","",'Model inputs'!K55)</f>
        <v>0</v>
      </c>
      <c r="L160" s="20">
        <f>IF('Model inputs'!L55="","",'Model inputs'!L55)</f>
        <v>0</v>
      </c>
      <c r="M160" s="20">
        <f>IF('Model inputs'!M55="","",'Model inputs'!M55)</f>
        <v>0</v>
      </c>
      <c r="N160" s="20">
        <f>IF('Model inputs'!N55="","",'Model inputs'!N55)</f>
        <v>0</v>
      </c>
      <c r="P160" s="20">
        <f>'Model inputs'!P159*'Model inputs'!O54</f>
        <v>0</v>
      </c>
      <c r="Q160" s="20">
        <f>'Model inputs'!Q159*'Model inputs'!O54</f>
        <v>0</v>
      </c>
      <c r="R160" s="20">
        <f>'Model inputs'!R159*'Model inputs'!O54</f>
        <v>0</v>
      </c>
      <c r="S160" s="20">
        <f>'Model inputs'!S159*'Model inputs'!O54</f>
        <v>0</v>
      </c>
      <c r="T160" s="20">
        <f>'Model inputs'!T159*'Model inputs'!O54</f>
        <v>0</v>
      </c>
      <c r="U160" s="20">
        <f>'Model inputs'!U159*'Model inputs'!O54</f>
        <v>0</v>
      </c>
      <c r="V160" s="20">
        <f>'Model inputs'!V159*'Model inputs'!O54</f>
        <v>0</v>
      </c>
      <c r="W160" s="20">
        <f>'Model inputs'!W159*'Model inputs'!O54</f>
        <v>0</v>
      </c>
    </row>
    <row r="161">
      <c r="A161" t="inlineStr" s="19">
        <is>
          <t xml:space="preserve">Team subscription revenue · Cumulative cash if hired at earliest month</t>
        </is>
      </c>
      <c r="B161" s="20">
        <f>IF('Model inputs'!B65="","",'Model inputs'!B65)</f>
        <v>0</v>
      </c>
      <c r="C161" s="20">
        <f>IF('Model inputs'!C65="","",'Model inputs'!C65)</f>
        <v>0</v>
      </c>
      <c r="D161" s="20">
        <f>IF('Model inputs'!D65="","",'Model inputs'!D65)</f>
        <v>199</v>
      </c>
      <c r="E161" s="20">
        <f>IF('Model inputs'!E65="","",'Model inputs'!E65)</f>
        <v>398</v>
      </c>
      <c r="F161" s="20">
        <f>IF('Model inputs'!F65="","",'Model inputs'!F65)</f>
        <v>597</v>
      </c>
      <c r="G161" s="20">
        <f>IF('Model inputs'!G65="","",'Model inputs'!G65)</f>
        <v>796</v>
      </c>
      <c r="H161" s="20">
        <f>IF('Model inputs'!H65="","",'Model inputs'!H65)</f>
        <v>995</v>
      </c>
      <c r="I161" s="20">
        <f>IF('Model inputs'!I65="","",'Model inputs'!I65)</f>
        <v>1592</v>
      </c>
      <c r="J161" s="20">
        <f>IF('Model inputs'!J65="","",'Model inputs'!J65)</f>
        <v>2189</v>
      </c>
      <c r="K161" s="20">
        <f>IF('Model inputs'!K65="","",'Model inputs'!K65)</f>
        <v>2985</v>
      </c>
      <c r="L161" s="20">
        <f>IF('Model inputs'!L65="","",'Model inputs'!L65)</f>
        <v>3980</v>
      </c>
      <c r="M161" s="20">
        <f>IF('Model inputs'!M65="","",'Model inputs'!M65)</f>
        <v>4975</v>
      </c>
      <c r="N161" s="20">
        <f>IF('Model inputs'!N65="","",'Model inputs'!N65)</f>
        <v>5970</v>
      </c>
      <c r="P161" s="20">
        <f>'Model inputs'!P164*'Model inputs'!O64</f>
        <v>0</v>
      </c>
      <c r="Q161" s="20">
        <f>'Model inputs'!Q164*'Model inputs'!O64</f>
        <v>0</v>
      </c>
      <c r="R161" s="20">
        <f>'Model inputs'!R164*'Model inputs'!O64</f>
        <v>0</v>
      </c>
      <c r="S161" s="20">
        <f>'Model inputs'!S164*'Model inputs'!O64</f>
        <v>0</v>
      </c>
      <c r="T161" s="20">
        <f>'Model inputs'!T164*'Model inputs'!O64</f>
        <v>0</v>
      </c>
      <c r="U161" s="20">
        <f>'Model inputs'!U164*'Model inputs'!O64</f>
        <v>0</v>
      </c>
      <c r="V161" s="20">
        <f>'Model inputs'!V164*'Model inputs'!O64</f>
        <v>0</v>
      </c>
      <c r="W161" s="20">
        <f>'Model inputs'!W164*'Model inputs'!O64</f>
        <v>0</v>
      </c>
    </row>
    <row r="162">
      <c r="A162" t="inlineStr" s="19">
        <is>
          <t xml:space="preserve">Team successful fixes · Cumulative cash if hired at earliest month</t>
        </is>
      </c>
      <c r="B162" s="20">
        <f>IF('Model inputs'!B68="","",'Model inputs'!B68)</f>
        <v>0</v>
      </c>
      <c r="C162" s="20">
        <f>IF('Model inputs'!C68="","",'Model inputs'!C68)</f>
        <v>0</v>
      </c>
      <c r="D162" s="20">
        <f>IF('Model inputs'!D68="","",'Model inputs'!D68)</f>
        <v>10</v>
      </c>
      <c r="E162" s="20">
        <f>IF('Model inputs'!E68="","",'Model inputs'!E68)</f>
        <v>20</v>
      </c>
      <c r="F162" s="20">
        <f>IF('Model inputs'!F68="","",'Model inputs'!F68)</f>
        <v>30</v>
      </c>
      <c r="G162" s="20">
        <f>IF('Model inputs'!G68="","",'Model inputs'!G68)</f>
        <v>40</v>
      </c>
      <c r="H162" s="20">
        <f>IF('Model inputs'!H68="","",'Model inputs'!H68)</f>
        <v>50</v>
      </c>
      <c r="I162" s="20">
        <f>IF('Model inputs'!I68="","",'Model inputs'!I68)</f>
        <v>80</v>
      </c>
      <c r="J162" s="20">
        <f>IF('Model inputs'!J68="","",'Model inputs'!J68)</f>
        <v>110</v>
      </c>
      <c r="K162" s="20">
        <f>IF('Model inputs'!K68="","",'Model inputs'!K68)</f>
        <v>150</v>
      </c>
      <c r="L162" s="20">
        <f>IF('Model inputs'!L68="","",'Model inputs'!L68)</f>
        <v>200</v>
      </c>
      <c r="M162" s="20">
        <f>IF('Model inputs'!M68="","",'Model inputs'!M68)</f>
        <v>250</v>
      </c>
      <c r="N162" s="20">
        <f>IF('Model inputs'!N68="","",'Model inputs'!N68)</f>
        <v>300</v>
      </c>
      <c r="P162" s="20">
        <f>'Model inputs'!P164*'Model inputs'!O43</f>
        <v>0</v>
      </c>
      <c r="Q162" s="20">
        <f>'Model inputs'!Q164*'Model inputs'!O43</f>
        <v>0</v>
      </c>
      <c r="R162" s="20">
        <f>'Model inputs'!R164*'Model inputs'!O43</f>
        <v>0</v>
      </c>
      <c r="S162" s="20">
        <f>'Model inputs'!S164*'Model inputs'!O43</f>
        <v>0</v>
      </c>
      <c r="T162" s="20">
        <f>'Model inputs'!T164*'Model inputs'!O43</f>
        <v>0</v>
      </c>
      <c r="U162" s="20">
        <f>'Model inputs'!U164*'Model inputs'!O43</f>
        <v>0</v>
      </c>
      <c r="V162" s="20">
        <f>'Model inputs'!V164*'Model inputs'!O43</f>
        <v>0</v>
      </c>
      <c r="W162" s="20">
        <f>'Model inputs'!W164*'Model inputs'!O43</f>
        <v>0</v>
      </c>
    </row>
    <row r="163">
      <c r="A163" t="inlineStr" s="19">
        <is>
          <t xml:space="preserve">Extra fixes per team · Cumulative cash if hired at earliest month</t>
        </is>
      </c>
      <c r="B163" s="20">
        <f>IF('Model inputs'!B31="","",'Model inputs'!B31)</f>
        <v>0</v>
      </c>
      <c r="C163" s="20">
        <f>IF('Model inputs'!C31="","",'Model inputs'!C31)</f>
        <v>0</v>
      </c>
      <c r="D163" s="20">
        <f>IF('Model inputs'!D31="","",'Model inputs'!D31)</f>
        <v>0</v>
      </c>
      <c r="E163" s="20">
        <f>IF('Model inputs'!E31="","",'Model inputs'!E31)</f>
        <v>0</v>
      </c>
      <c r="F163" s="20">
        <f>IF('Model inputs'!F31="","",'Model inputs'!F31)</f>
        <v>0</v>
      </c>
      <c r="G163" s="20">
        <f>IF('Model inputs'!G31="","",'Model inputs'!G31)</f>
        <v>0</v>
      </c>
      <c r="H163" s="20">
        <f>IF('Model inputs'!H31="","",'Model inputs'!H31)</f>
        <v>0</v>
      </c>
      <c r="I163" s="20">
        <f>IF('Model inputs'!I31="","",'Model inputs'!I31)</f>
        <v>0</v>
      </c>
      <c r="J163" s="20">
        <f>IF('Model inputs'!J31="","",'Model inputs'!J31)</f>
        <v>0</v>
      </c>
      <c r="K163" s="20">
        <f>IF('Model inputs'!K31="","",'Model inputs'!K31)</f>
        <v>0</v>
      </c>
      <c r="L163" s="20">
        <f>IF('Model inputs'!L31="","",'Model inputs'!L31)</f>
        <v>0</v>
      </c>
      <c r="M163" s="20">
        <f>IF('Model inputs'!M31="","",'Model inputs'!M31)</f>
        <v>0</v>
      </c>
      <c r="N163" s="20">
        <f>IF('Model inputs'!N31="","",'Model inputs'!N31)</f>
        <v>0</v>
      </c>
      <c r="P163" s="20">
        <v>0</v>
      </c>
      <c r="Q163" s="20">
        <v>0</v>
      </c>
      <c r="R163" s="20">
        <v>0</v>
      </c>
      <c r="S163" s="20">
        <v>0</v>
      </c>
      <c r="T163" s="20">
        <v>0</v>
      </c>
      <c r="U163" s="20">
        <v>0</v>
      </c>
      <c r="V163" s="20">
        <v>0</v>
      </c>
      <c r="W163" s="20">
        <v>0</v>
      </c>
    </row>
    <row r="164">
      <c r="A164" t="inlineStr" s="19">
        <is>
          <t xml:space="preserve">Paying teams · Cumulative cash if hired at earliest month</t>
        </is>
      </c>
      <c r="B164" s="8">
        <f>IF('Model inputs'!B58="","",'Model inputs'!B58)</f>
        <v>0</v>
      </c>
      <c r="C164" s="8">
        <f>IF('Model inputs'!C58="","",'Model inputs'!C58)</f>
        <v>0</v>
      </c>
      <c r="D164" s="8">
        <f>IF('Model inputs'!D58="","",'Model inputs'!D58)</f>
        <v>1</v>
      </c>
      <c r="E164" s="8">
        <f>IF('Model inputs'!E58="","",'Model inputs'!E58)</f>
        <v>2</v>
      </c>
      <c r="F164" s="8">
        <f>IF('Model inputs'!F58="","",'Model inputs'!F58)</f>
        <v>3</v>
      </c>
      <c r="G164" s="8">
        <f>IF('Model inputs'!G58="","",'Model inputs'!G58)</f>
        <v>4</v>
      </c>
      <c r="H164" s="8">
        <f>IF('Model inputs'!H58="","",'Model inputs'!H58)</f>
        <v>5</v>
      </c>
      <c r="I164" s="8">
        <f>IF('Model inputs'!I58="","",'Model inputs'!I58)</f>
        <v>8</v>
      </c>
      <c r="J164" s="8">
        <f>IF('Model inputs'!J58="","",'Model inputs'!J58)</f>
        <v>11</v>
      </c>
      <c r="K164" s="8">
        <f>IF('Model inputs'!K58="","",'Model inputs'!K58)</f>
        <v>15</v>
      </c>
      <c r="L164" s="8">
        <f>IF('Model inputs'!L58="","",'Model inputs'!L58)</f>
        <v>20</v>
      </c>
      <c r="M164" s="8">
        <f>IF('Model inputs'!M58="","",'Model inputs'!M58)</f>
        <v>25</v>
      </c>
      <c r="N164" s="8">
        <f>IF('Model inputs'!N58="","",'Model inputs'!N58)</f>
        <v>30</v>
      </c>
      <c r="P164" s="8">
        <v>0</v>
      </c>
      <c r="Q164" s="8">
        <v>0</v>
      </c>
      <c r="R164" s="8">
        <v>0</v>
      </c>
      <c r="S164" s="8">
        <v>0</v>
      </c>
      <c r="T164" s="8">
        <v>0</v>
      </c>
      <c r="U164" s="8">
        <v>0</v>
      </c>
      <c r="V164" s="8">
        <v>0</v>
      </c>
      <c r="W164" s="8">
        <v>0</v>
      </c>
    </row>
    <row r="166">
      <c r="A166" t="inlineStr" s="18">
        <is>
          <t xml:space="preserve">Supporting calculations</t>
        </is>
      </c>
    </row>
    <row r="167">
      <c r="A167" t="inlineStr" s="19">
        <is>
          <t xml:space="preserve">Calculation</t>
        </is>
      </c>
      <c r="B167">
        <f>IF(ISERROR('Monthly operating and hiring fo'!B23&gt;='Pricing and operating assumptio'!B15),'Monthly operating and hiring fo'!B23&gt;='Pricing and operating assumptio'!B15,IF(OR('Monthly operating and hiring fo'!B23="",'Pricing and operating assumptio'!B15=""),"",'Monthly operating and hiring fo'!B23&gt;='Pricing and operating assumptio'!B15))</f>
      </c>
    </row>
    <row r="168">
      <c r="A168" t="inlineStr" s="19">
        <is>
          <t xml:space="preserve">Calculation</t>
        </is>
      </c>
      <c r="B168">
        <f>IF(ISERROR('Monthly operating and hiring fo'!B27=1),'Monthly operating and hiring fo'!B27=1,IF('Monthly operating and hiring fo'!B27="","",'Monthly operating and hiring fo'!B27=1))</f>
      </c>
    </row>
    <row r="169">
      <c r="A169" t="inlineStr" s="19">
        <is>
          <t xml:space="preserve">Calculation</t>
        </is>
      </c>
      <c r="B169">
        <f>IF(ISERROR('Monthly operating and hiring fo'!C23&gt;='Pricing and operating assumptio'!B15),'Monthly operating and hiring fo'!C23&gt;='Pricing and operating assumptio'!B15,IF(OR('Monthly operating and hiring fo'!C23="",'Pricing and operating assumptio'!B15=""),"",'Monthly operating and hiring fo'!C23&gt;='Pricing and operating assumptio'!B15))</f>
      </c>
    </row>
    <row r="170">
      <c r="A170" t="inlineStr" s="19">
        <is>
          <t xml:space="preserve">Calculation</t>
        </is>
      </c>
      <c r="B170">
        <f>IF(ISERROR('Monthly operating and hiring fo'!C27=1),'Monthly operating and hiring fo'!C27=1,IF('Monthly operating and hiring fo'!C27="","",'Monthly operating and hiring fo'!C27=1))</f>
      </c>
    </row>
    <row r="171">
      <c r="A171" t="inlineStr" s="19">
        <is>
          <t xml:space="preserve">Calculation</t>
        </is>
      </c>
      <c r="B171">
        <f>IF(ISERROR('Monthly operating and hiring fo'!D23&gt;='Pricing and operating assumptio'!B15),'Monthly operating and hiring fo'!D23&gt;='Pricing and operating assumptio'!B15,IF(OR('Monthly operating and hiring fo'!D23="",'Pricing and operating assumptio'!B15=""),"",'Monthly operating and hiring fo'!D23&gt;='Pricing and operating assumptio'!B15))</f>
      </c>
    </row>
    <row r="172">
      <c r="A172" t="inlineStr" s="19">
        <is>
          <t xml:space="preserve">Calculation</t>
        </is>
      </c>
      <c r="B172">
        <f>IF(ISERROR('Monthly operating and hiring fo'!D27=1),'Monthly operating and hiring fo'!D27=1,IF('Monthly operating and hiring fo'!D27="","",'Monthly operating and hiring fo'!D27=1))</f>
      </c>
    </row>
    <row r="173">
      <c r="A173" t="inlineStr" s="19">
        <is>
          <t xml:space="preserve">Calculation</t>
        </is>
      </c>
      <c r="B173">
        <f>IF(ISERROR('Monthly operating and hiring fo'!E23&gt;='Pricing and operating assumptio'!B15),'Monthly operating and hiring fo'!E23&gt;='Pricing and operating assumptio'!B15,IF(OR('Monthly operating and hiring fo'!E23="",'Pricing and operating assumptio'!B15=""),"",'Monthly operating and hiring fo'!E23&gt;='Pricing and operating assumptio'!B15))</f>
      </c>
    </row>
    <row r="174">
      <c r="A174" t="inlineStr" s="19">
        <is>
          <t xml:space="preserve">Calculation</t>
        </is>
      </c>
      <c r="B174">
        <f>IF(ISERROR('Monthly operating and hiring fo'!E27=1),'Monthly operating and hiring fo'!E27=1,IF('Monthly operating and hiring fo'!E27="","",'Monthly operating and hiring fo'!E27=1))</f>
      </c>
    </row>
    <row r="175">
      <c r="A175" t="inlineStr" s="19">
        <is>
          <t xml:space="preserve">Calculation</t>
        </is>
      </c>
      <c r="B175">
        <f>IF(ISERROR('Monthly operating and hiring fo'!F23&gt;='Pricing and operating assumptio'!B15),'Monthly operating and hiring fo'!F23&gt;='Pricing and operating assumptio'!B15,IF(OR('Monthly operating and hiring fo'!F23="",'Pricing and operating assumptio'!B15=""),"",'Monthly operating and hiring fo'!F23&gt;='Pricing and operating assumptio'!B15))</f>
      </c>
    </row>
    <row r="176">
      <c r="A176" t="inlineStr" s="19">
        <is>
          <t xml:space="preserve">Calculation</t>
        </is>
      </c>
      <c r="B176">
        <f>IF(ISERROR('Monthly operating and hiring fo'!F27=1),'Monthly operating and hiring fo'!F27=1,IF('Monthly operating and hiring fo'!F27="","",'Monthly operating and hiring fo'!F27=1))</f>
      </c>
    </row>
    <row r="177">
      <c r="A177" t="inlineStr" s="19">
        <is>
          <t xml:space="preserve">Calculation</t>
        </is>
      </c>
      <c r="B177">
        <f>IF(ISERROR('Monthly operating and hiring fo'!G23&gt;='Pricing and operating assumptio'!B15),'Monthly operating and hiring fo'!G23&gt;='Pricing and operating assumptio'!B15,IF(OR('Monthly operating and hiring fo'!G23="",'Pricing and operating assumptio'!B15=""),"",'Monthly operating and hiring fo'!G23&gt;='Pricing and operating assumptio'!B15))</f>
      </c>
    </row>
    <row r="178">
      <c r="A178" t="inlineStr" s="19">
        <is>
          <t xml:space="preserve">Calculation</t>
        </is>
      </c>
      <c r="B178">
        <f>IF(ISERROR('Monthly operating and hiring fo'!G27=1),'Monthly operating and hiring fo'!G27=1,IF('Monthly operating and hiring fo'!G27="","",'Monthly operating and hiring fo'!G27=1))</f>
      </c>
    </row>
    <row r="179">
      <c r="A179" t="inlineStr" s="19">
        <is>
          <t xml:space="preserve">Calculation</t>
        </is>
      </c>
      <c r="B179">
        <f>IF(ISERROR('Monthly operating and hiring fo'!H23&gt;='Pricing and operating assumptio'!B15),'Monthly operating and hiring fo'!H23&gt;='Pricing and operating assumptio'!B15,IF(OR('Monthly operating and hiring fo'!H23="",'Pricing and operating assumptio'!B15=""),"",'Monthly operating and hiring fo'!H23&gt;='Pricing and operating assumptio'!B15))</f>
      </c>
    </row>
    <row r="180">
      <c r="A180" t="inlineStr" s="19">
        <is>
          <t xml:space="preserve">Calculation</t>
        </is>
      </c>
      <c r="B180">
        <f>IF(ISERROR('Monthly operating and hiring fo'!H27=1),'Monthly operating and hiring fo'!H27=1,IF('Monthly operating and hiring fo'!H27="","",'Monthly operating and hiring fo'!H27=1))</f>
      </c>
    </row>
    <row r="181">
      <c r="A181" t="inlineStr" s="19">
        <is>
          <t xml:space="preserve">Calculation</t>
        </is>
      </c>
      <c r="B181">
        <f>IF(ISERROR('Monthly operating and hiring fo'!I23&gt;='Pricing and operating assumptio'!B15),'Monthly operating and hiring fo'!I23&gt;='Pricing and operating assumptio'!B15,IF(OR('Monthly operating and hiring fo'!I23="",'Pricing and operating assumptio'!B15=""),"",'Monthly operating and hiring fo'!I23&gt;='Pricing and operating assumptio'!B15))</f>
      </c>
    </row>
    <row r="182">
      <c r="A182" t="inlineStr" s="19">
        <is>
          <t xml:space="preserve">Calculation</t>
        </is>
      </c>
      <c r="B182">
        <f>IF(ISERROR('Monthly operating and hiring fo'!I27=1),'Monthly operating and hiring fo'!I27=1,IF('Monthly operating and hiring fo'!I27="","",'Monthly operating and hiring fo'!I27=1))</f>
      </c>
    </row>
    <row r="183">
      <c r="A183" t="inlineStr" s="19">
        <is>
          <t xml:space="preserve">Calculation</t>
        </is>
      </c>
      <c r="B183">
        <f>IF(ISERROR('Monthly operating and hiring fo'!J23&gt;='Pricing and operating assumptio'!B15),'Monthly operating and hiring fo'!J23&gt;='Pricing and operating assumptio'!B15,IF(OR('Monthly operating and hiring fo'!J23="",'Pricing and operating assumptio'!B15=""),"",'Monthly operating and hiring fo'!J23&gt;='Pricing and operating assumptio'!B15))</f>
      </c>
    </row>
    <row r="184">
      <c r="A184" t="inlineStr" s="19">
        <is>
          <t xml:space="preserve">Calculation</t>
        </is>
      </c>
      <c r="B184">
        <f>IF(ISERROR('Monthly operating and hiring fo'!J27=1),'Monthly operating and hiring fo'!J27=1,IF('Monthly operating and hiring fo'!J27="","",'Monthly operating and hiring fo'!J27=1))</f>
      </c>
    </row>
    <row r="185">
      <c r="A185" t="inlineStr" s="19">
        <is>
          <t xml:space="preserve">Calculation</t>
        </is>
      </c>
      <c r="B185">
        <f>IF(ISERROR('Monthly operating and hiring fo'!K23&gt;='Pricing and operating assumptio'!B15),'Monthly operating and hiring fo'!K23&gt;='Pricing and operating assumptio'!B15,IF(OR('Monthly operating and hiring fo'!K23="",'Pricing and operating assumptio'!B15=""),"",'Monthly operating and hiring fo'!K23&gt;='Pricing and operating assumptio'!B15))</f>
      </c>
    </row>
    <row r="186">
      <c r="A186" t="inlineStr" s="19">
        <is>
          <t xml:space="preserve">Calculation</t>
        </is>
      </c>
      <c r="B186">
        <f>IF(ISERROR('Monthly operating and hiring fo'!K27=1),'Monthly operating and hiring fo'!K27=1,IF('Monthly operating and hiring fo'!K27="","",'Monthly operating and hiring fo'!K27=1))</f>
      </c>
    </row>
    <row r="187">
      <c r="A187" t="inlineStr" s="19">
        <is>
          <t xml:space="preserve">Calculation</t>
        </is>
      </c>
      <c r="B187">
        <f>IF(ISERROR('Monthly operating and hiring fo'!L23&gt;='Pricing and operating assumptio'!B15),'Monthly operating and hiring fo'!L23&gt;='Pricing and operating assumptio'!B15,IF(OR('Monthly operating and hiring fo'!L23="",'Pricing and operating assumptio'!B15=""),"",'Monthly operating and hiring fo'!L23&gt;='Pricing and operating assumptio'!B15))</f>
      </c>
    </row>
    <row r="188">
      <c r="A188" t="inlineStr" s="19">
        <is>
          <t xml:space="preserve">Calculation</t>
        </is>
      </c>
      <c r="B188">
        <f>IF(ISERROR('Monthly operating and hiring fo'!L27=1),'Monthly operating and hiring fo'!L27=1,IF('Monthly operating and hiring fo'!L27="","",'Monthly operating and hiring fo'!L27=1))</f>
      </c>
    </row>
    <row r="189">
      <c r="A189" t="inlineStr" s="19">
        <is>
          <t xml:space="preserve">Calculation</t>
        </is>
      </c>
      <c r="B189">
        <f>IF(ISERROR('Monthly operating and hiring fo'!M23&gt;='Pricing and operating assumptio'!B15),'Monthly operating and hiring fo'!M23&gt;='Pricing and operating assumptio'!B15,IF(OR('Monthly operating and hiring fo'!M23="",'Pricing and operating assumptio'!B15=""),"",'Monthly operating and hiring fo'!M23&gt;='Pricing and operating assumptio'!B15))</f>
      </c>
    </row>
    <row r="190">
      <c r="A190" t="inlineStr" s="19">
        <is>
          <t xml:space="preserve">Calculation</t>
        </is>
      </c>
      <c r="B190">
        <f>IF(ISERROR('Model inputs'!C7&gt;='Model inputs'!O11),'Model inputs'!C7&gt;='Model inputs'!O11,IF(OR('Model inputs'!C7="",'Model inputs'!O11=""),"",'Model inputs'!C7&gt;='Model inputs'!O11))</f>
      </c>
    </row>
    <row r="191">
      <c r="A191" t="inlineStr" s="19">
        <is>
          <t xml:space="preserve">Calculation</t>
        </is>
      </c>
      <c r="B191">
        <f>IF(ISERROR('Model inputs'!C8&gt;='Model inputs'!O12),'Model inputs'!C8&gt;='Model inputs'!O12,IF(OR('Model inputs'!C8="",'Model inputs'!O12=""),"",'Model inputs'!C8&gt;='Model inputs'!O12))</f>
      </c>
    </row>
    <row r="192">
      <c r="A192" t="inlineStr" s="19">
        <is>
          <t xml:space="preserve">Calculation</t>
        </is>
      </c>
      <c r="B192">
        <f>IF(ISERROR('Model inputs'!D7&gt;='Model inputs'!O11),'Model inputs'!D7&gt;='Model inputs'!O11,IF(OR('Model inputs'!D7="",'Model inputs'!O11=""),"",'Model inputs'!D7&gt;='Model inputs'!O11))</f>
      </c>
    </row>
    <row r="193">
      <c r="A193" t="inlineStr" s="19">
        <is>
          <t xml:space="preserve">Calculation</t>
        </is>
      </c>
      <c r="B193">
        <f>IF(ISERROR('Model inputs'!D8&gt;='Model inputs'!O12),'Model inputs'!D8&gt;='Model inputs'!O12,IF(OR('Model inputs'!D8="",'Model inputs'!O12=""),"",'Model inputs'!D8&gt;='Model inputs'!O12))</f>
      </c>
    </row>
    <row r="194">
      <c r="A194" t="inlineStr" s="19">
        <is>
          <t xml:space="preserve">Calculation</t>
        </is>
      </c>
      <c r="B194">
        <f>IF(ISERROR('Model inputs'!E7&gt;='Model inputs'!O11),'Model inputs'!E7&gt;='Model inputs'!O11,IF(OR('Model inputs'!E7="",'Model inputs'!O11=""),"",'Model inputs'!E7&gt;='Model inputs'!O11))</f>
      </c>
    </row>
    <row r="195">
      <c r="A195" t="inlineStr" s="19">
        <is>
          <t xml:space="preserve">Calculation</t>
        </is>
      </c>
      <c r="B195">
        <f>IF(ISERROR('Model inputs'!E8&gt;='Model inputs'!O12),'Model inputs'!E8&gt;='Model inputs'!O12,IF(OR('Model inputs'!E8="",'Model inputs'!O12=""),"",'Model inputs'!E8&gt;='Model inputs'!O12))</f>
      </c>
    </row>
    <row r="196">
      <c r="A196" t="inlineStr" s="19">
        <is>
          <t xml:space="preserve">Calculation</t>
        </is>
      </c>
      <c r="B196">
        <f>IF(ISERROR('Model inputs'!F7&gt;='Model inputs'!O11),'Model inputs'!F7&gt;='Model inputs'!O11,IF(OR('Model inputs'!F7="",'Model inputs'!O11=""),"",'Model inputs'!F7&gt;='Model inputs'!O11))</f>
      </c>
    </row>
    <row r="197">
      <c r="A197" t="inlineStr" s="19">
        <is>
          <t xml:space="preserve">Calculation</t>
        </is>
      </c>
      <c r="B197">
        <f>IF(ISERROR('Model inputs'!F8&gt;='Model inputs'!O12),'Model inputs'!F8&gt;='Model inputs'!O12,IF(OR('Model inputs'!F8="",'Model inputs'!O12=""),"",'Model inputs'!F8&gt;='Model inputs'!O12))</f>
      </c>
    </row>
    <row r="198">
      <c r="A198" t="inlineStr" s="19">
        <is>
          <t xml:space="preserve">Calculation</t>
        </is>
      </c>
      <c r="B198">
        <f>IF(ISERROR('Model inputs'!G7&gt;='Model inputs'!O11),'Model inputs'!G7&gt;='Model inputs'!O11,IF(OR('Model inputs'!G7="",'Model inputs'!O11=""),"",'Model inputs'!G7&gt;='Model inputs'!O11))</f>
      </c>
    </row>
    <row r="199">
      <c r="A199" t="inlineStr" s="19">
        <is>
          <t xml:space="preserve">Calculation</t>
        </is>
      </c>
      <c r="B199">
        <f>IF(ISERROR('Model inputs'!G8&gt;='Model inputs'!O12),'Model inputs'!G8&gt;='Model inputs'!O12,IF(OR('Model inputs'!G8="",'Model inputs'!O12=""),"",'Model inputs'!G8&gt;='Model inputs'!O12))</f>
      </c>
    </row>
    <row r="200">
      <c r="A200" t="inlineStr" s="19">
        <is>
          <t xml:space="preserve">Calculation</t>
        </is>
      </c>
      <c r="B200">
        <f>IF(ISERROR('Model inputs'!H7&gt;='Model inputs'!O11),'Model inputs'!H7&gt;='Model inputs'!O11,IF(OR('Model inputs'!H7="",'Model inputs'!O11=""),"",'Model inputs'!H7&gt;='Model inputs'!O11))</f>
      </c>
    </row>
    <row r="201">
      <c r="A201" t="inlineStr" s="19">
        <is>
          <t xml:space="preserve">Calculation</t>
        </is>
      </c>
      <c r="B201">
        <f>IF(ISERROR('Model inputs'!H8&gt;='Model inputs'!O12),'Model inputs'!H8&gt;='Model inputs'!O12,IF(OR('Model inputs'!H8="",'Model inputs'!O12=""),"",'Model inputs'!H8&gt;='Model inputs'!O12))</f>
      </c>
    </row>
    <row r="202">
      <c r="A202" t="inlineStr" s="19">
        <is>
          <t xml:space="preserve">Calculation</t>
        </is>
      </c>
      <c r="B202">
        <f>IF(ISERROR('Model inputs'!I7&gt;='Model inputs'!O11),'Model inputs'!I7&gt;='Model inputs'!O11,IF(OR('Model inputs'!I7="",'Model inputs'!O11=""),"",'Model inputs'!I7&gt;='Model inputs'!O11))</f>
      </c>
    </row>
    <row r="203">
      <c r="A203" t="inlineStr" s="19">
        <is>
          <t xml:space="preserve">Calculation</t>
        </is>
      </c>
      <c r="B203">
        <f>IF(ISERROR('Model inputs'!I8&gt;='Model inputs'!O12),'Model inputs'!I8&gt;='Model inputs'!O12,IF(OR('Model inputs'!I8="",'Model inputs'!O12=""),"",'Model inputs'!I8&gt;='Model inputs'!O12))</f>
      </c>
    </row>
    <row r="204">
      <c r="A204" t="inlineStr" s="19">
        <is>
          <t xml:space="preserve">Calculation</t>
        </is>
      </c>
      <c r="B204">
        <f>IF(ISERROR('Model inputs'!J7&gt;='Model inputs'!O11),'Model inputs'!J7&gt;='Model inputs'!O11,IF(OR('Model inputs'!J7="",'Model inputs'!O11=""),"",'Model inputs'!J7&gt;='Model inputs'!O11))</f>
      </c>
    </row>
    <row r="205">
      <c r="A205" t="inlineStr" s="19">
        <is>
          <t xml:space="preserve">Calculation</t>
        </is>
      </c>
      <c r="B205">
        <f>IF(ISERROR('Model inputs'!J8&gt;='Model inputs'!O12),'Model inputs'!J8&gt;='Model inputs'!O12,IF(OR('Model inputs'!J8="",'Model inputs'!O12=""),"",'Model inputs'!J8&gt;='Model inputs'!O12))</f>
      </c>
    </row>
    <row r="206">
      <c r="A206" t="inlineStr" s="19">
        <is>
          <t xml:space="preserve">Calculation</t>
        </is>
      </c>
      <c r="B206">
        <f>IF(ISERROR('Model inputs'!K7&gt;='Model inputs'!O11),'Model inputs'!K7&gt;='Model inputs'!O11,IF(OR('Model inputs'!K7="",'Model inputs'!O11=""),"",'Model inputs'!K7&gt;='Model inputs'!O11))</f>
      </c>
    </row>
    <row r="207">
      <c r="A207" t="inlineStr" s="19">
        <is>
          <t xml:space="preserve">Calculation</t>
        </is>
      </c>
      <c r="B207">
        <f>IF(ISERROR('Model inputs'!K8&gt;='Model inputs'!O12),'Model inputs'!K8&gt;='Model inputs'!O12,IF(OR('Model inputs'!K8="",'Model inputs'!O12=""),"",'Model inputs'!K8&gt;='Model inputs'!O12))</f>
      </c>
    </row>
    <row r="208">
      <c r="A208" t="inlineStr" s="19">
        <is>
          <t xml:space="preserve">Calculation</t>
        </is>
      </c>
      <c r="B208">
        <f>IF(ISERROR('Scenario comparison'!AA8=1),'Scenario comparison'!AA8=1,IF('Scenario comparison'!AA8="","",'Scenario comparison'!AA8=1))</f>
      </c>
    </row>
    <row r="209">
      <c r="A209" t="inlineStr" s="19">
        <is>
          <t xml:space="preserve">Calculation</t>
        </is>
      </c>
      <c r="B209">
        <f>IF(ISERROR('Model inputs'!L7&gt;='Model inputs'!O11),'Model inputs'!L7&gt;='Model inputs'!O11,IF(OR('Model inputs'!L7="",'Model inputs'!O11=""),"",'Model inputs'!L7&gt;='Model inputs'!O11))</f>
      </c>
    </row>
    <row r="210">
      <c r="A210" t="inlineStr" s="19">
        <is>
          <t xml:space="preserve">Calculation</t>
        </is>
      </c>
      <c r="B210">
        <f>IF(ISERROR('Scenario comparison'!AB8=1),'Scenario comparison'!AB8=1,IF('Scenario comparison'!AB8="","",'Scenario comparison'!AB8=1))</f>
      </c>
    </row>
    <row r="211">
      <c r="A211" t="inlineStr" s="19">
        <is>
          <t xml:space="preserve">Calculation</t>
        </is>
      </c>
      <c r="B211">
        <f>IF(ISERROR('Model inputs'!L8&gt;='Model inputs'!O12),'Model inputs'!L8&gt;='Model inputs'!O12,IF(OR('Model inputs'!L8="",'Model inputs'!O12=""),"",'Model inputs'!L8&gt;='Model inputs'!O12))</f>
      </c>
    </row>
    <row r="212">
      <c r="A212" t="inlineStr" s="19">
        <is>
          <t xml:space="preserve">Calculation</t>
        </is>
      </c>
      <c r="B212">
        <f>IF(ISERROR('Scenario comparison'!AC8=1),'Scenario comparison'!AC8=1,IF('Scenario comparison'!AC8="","",'Scenario comparison'!AC8=1))</f>
      </c>
    </row>
    <row r="213">
      <c r="A213" t="inlineStr" s="19">
        <is>
          <t xml:space="preserve">Calculation</t>
        </is>
      </c>
      <c r="B213">
        <f>IF(ISERROR('Scenario comparison'!AD8=1),'Scenario comparison'!AD8=1,IF('Scenario comparison'!AD8="","",'Scenario comparison'!AD8=1))</f>
      </c>
    </row>
    <row r="214">
      <c r="A214" t="inlineStr" s="19">
        <is>
          <t xml:space="preserve">Calculation</t>
        </is>
      </c>
      <c r="B214">
        <f>IF(ISERROR('Model inputs'!M7&gt;='Model inputs'!O11),'Model inputs'!M7&gt;='Model inputs'!O11,IF(OR('Model inputs'!M7="",'Model inputs'!O11=""),"",'Model inputs'!M7&gt;='Model inputs'!O11))</f>
      </c>
    </row>
    <row r="215">
      <c r="A215" t="inlineStr" s="19">
        <is>
          <t xml:space="preserve">Calculation</t>
        </is>
      </c>
      <c r="B215">
        <f>IF(ISERROR('Scenario comparison'!AE8=1),'Scenario comparison'!AE8=1,IF('Scenario comparison'!AE8="","",'Scenario comparison'!AE8=1))</f>
      </c>
    </row>
    <row r="216">
      <c r="A216" t="inlineStr" s="19">
        <is>
          <t xml:space="preserve">Calculation</t>
        </is>
      </c>
      <c r="B216">
        <f>IF(ISERROR('Model inputs'!M8&gt;='Model inputs'!O12),'Model inputs'!M8&gt;='Model inputs'!O12,IF(OR('Model inputs'!M8="",'Model inputs'!O12=""),"",'Model inputs'!M8&gt;='Model inputs'!O12))</f>
      </c>
    </row>
    <row r="217">
      <c r="A217" t="inlineStr" s="19">
        <is>
          <t xml:space="preserve">Calculation</t>
        </is>
      </c>
      <c r="B217">
        <f>IF(ISERROR('Scenario comparison'!AF8=1),'Scenario comparison'!AF8=1,IF('Scenario comparison'!AF8="","",'Scenario comparison'!AF8=1))</f>
      </c>
    </row>
    <row r="218">
      <c r="A218" t="inlineStr" s="19">
        <is>
          <t xml:space="preserve">Calculation</t>
        </is>
      </c>
      <c r="B218">
        <f>IF(ISERROR('Scenario comparison'!AG8=1),'Scenario comparison'!AG8=1,IF('Scenario comparison'!AG8="","",'Scenario comparison'!AG8=1))</f>
      </c>
    </row>
    <row r="219">
      <c r="A219" t="inlineStr" s="19">
        <is>
          <t xml:space="preserve">Calculation</t>
        </is>
      </c>
      <c r="B219">
        <f>IF(ISERROR('Model inputs'!N7&gt;='Model inputs'!O11),'Model inputs'!N7&gt;='Model inputs'!O11,IF(OR('Model inputs'!N7="",'Model inputs'!O11=""),"",'Model inputs'!N7&gt;='Model inputs'!O11))</f>
      </c>
    </row>
    <row r="220">
      <c r="A220" t="inlineStr" s="19">
        <is>
          <t xml:space="preserve">Calculation</t>
        </is>
      </c>
      <c r="B220">
        <f>IF(ISERROR('Scenario comparison'!AH8=1),'Scenario comparison'!AH8=1,IF('Scenario comparison'!AH8="","",'Scenario comparison'!AH8=1))</f>
      </c>
    </row>
    <row r="221">
      <c r="A221" t="inlineStr" s="19">
        <is>
          <t xml:space="preserve">Calculation</t>
        </is>
      </c>
      <c r="B221">
        <f>IF(ISERROR('Model inputs'!N8&gt;='Model inputs'!O12),'Model inputs'!N8&gt;='Model inputs'!O12,IF(OR('Model inputs'!N8="",'Model inputs'!O12=""),"",'Model inputs'!N8&gt;='Model inputs'!O12))</f>
      </c>
    </row>
    <row r="222">
      <c r="A222" t="inlineStr" s="19">
        <is>
          <t xml:space="preserve">Calculation</t>
        </is>
      </c>
      <c r="B222">
        <f>IF(ISERROR('Model inputs'!B6&gt;='Model inputs'!O10),'Model inputs'!B6&gt;='Model inputs'!O10,IF(OR('Model inputs'!B6="",'Model inputs'!O10=""),"",'Model inputs'!B6&gt;='Model inputs'!O10))</f>
      </c>
    </row>
    <row r="223">
      <c r="A223" t="inlineStr" s="19">
        <is>
          <t xml:space="preserve">Calculation</t>
        </is>
      </c>
      <c r="B223">
        <f>IF(ISERROR('Model inputs'!C6&gt;='Model inputs'!O10),'Model inputs'!C6&gt;='Model inputs'!O10,IF(OR('Model inputs'!C6="",'Model inputs'!O10=""),"",'Model inputs'!C6&gt;='Model inputs'!O10))</f>
      </c>
    </row>
    <row r="224">
      <c r="A224" t="inlineStr" s="19">
        <is>
          <t xml:space="preserve">Calculation</t>
        </is>
      </c>
      <c r="B224">
        <f>IF(ISERROR('Model inputs'!D6&gt;='Model inputs'!O10),'Model inputs'!D6&gt;='Model inputs'!O10,IF(OR('Model inputs'!D6="",'Model inputs'!O10=""),"",'Model inputs'!D6&gt;='Model inputs'!O10))</f>
      </c>
    </row>
    <row r="225">
      <c r="A225" t="inlineStr" s="19">
        <is>
          <t xml:space="preserve">Calculation</t>
        </is>
      </c>
      <c r="B225">
        <f>IF(ISERROR('Model inputs'!E6&gt;='Model inputs'!O10),'Model inputs'!E6&gt;='Model inputs'!O10,IF(OR('Model inputs'!E6="",'Model inputs'!O10=""),"",'Model inputs'!E6&gt;='Model inputs'!O10))</f>
      </c>
    </row>
    <row r="226">
      <c r="A226" t="inlineStr" s="19">
        <is>
          <t xml:space="preserve">Calculation</t>
        </is>
      </c>
      <c r="B226">
        <f>IF(ISERROR('Model inputs'!F6&gt;='Model inputs'!O10),'Model inputs'!F6&gt;='Model inputs'!O10,IF(OR('Model inputs'!F6="",'Model inputs'!O10=""),"",'Model inputs'!F6&gt;='Model inputs'!O10))</f>
      </c>
    </row>
    <row r="227">
      <c r="A227" t="inlineStr" s="19">
        <is>
          <t xml:space="preserve">Calculation</t>
        </is>
      </c>
      <c r="B227">
        <f>IF(ISERROR('Model inputs'!G6&gt;='Model inputs'!O10),'Model inputs'!G6&gt;='Model inputs'!O10,IF(OR('Model inputs'!G6="",'Model inputs'!O10=""),"",'Model inputs'!G6&gt;='Model inputs'!O10))</f>
      </c>
    </row>
    <row r="228">
      <c r="A228" t="inlineStr" s="19">
        <is>
          <t xml:space="preserve">Calculation</t>
        </is>
      </c>
      <c r="B228">
        <f>IF(ISERROR('Model inputs'!H6&gt;='Model inputs'!O10),'Model inputs'!H6&gt;='Model inputs'!O10,IF(OR('Model inputs'!H6="",'Model inputs'!O10=""),"",'Model inputs'!H6&gt;='Model inputs'!O10))</f>
      </c>
    </row>
    <row r="229">
      <c r="A229" t="inlineStr" s="19">
        <is>
          <t xml:space="preserve">Calculation</t>
        </is>
      </c>
      <c r="B229">
        <f>IF(ISERROR('Model inputs'!I6&gt;='Model inputs'!O10),'Model inputs'!I6&gt;='Model inputs'!O10,IF(OR('Model inputs'!I6="",'Model inputs'!O10=""),"",'Model inputs'!I6&gt;='Model inputs'!O10))</f>
      </c>
    </row>
    <row r="230">
      <c r="A230" t="inlineStr" s="19">
        <is>
          <t xml:space="preserve">Calculation</t>
        </is>
      </c>
      <c r="B230">
        <f>IF(ISERROR('Model inputs'!J6&gt;='Model inputs'!O10),'Model inputs'!J6&gt;='Model inputs'!O10,IF(OR('Model inputs'!J6="",'Model inputs'!O10=""),"",'Model inputs'!J6&gt;='Model inputs'!O10))</f>
      </c>
    </row>
    <row r="231">
      <c r="A231" t="inlineStr" s="19">
        <is>
          <t xml:space="preserve">Calculation</t>
        </is>
      </c>
      <c r="B231">
        <f>IF(ISERROR('Model inputs'!K6&gt;='Model inputs'!O10),'Model inputs'!K6&gt;='Model inputs'!O10,IF(OR('Model inputs'!K6="",'Model inputs'!O10=""),"",'Model inputs'!K6&gt;='Model inputs'!O10))</f>
      </c>
    </row>
    <row r="232">
      <c r="A232" t="inlineStr" s="19">
        <is>
          <t xml:space="preserve">Calculation</t>
        </is>
      </c>
      <c r="B232">
        <f>IF(ISERROR('Model inputs'!L6&gt;='Model inputs'!O10),'Model inputs'!L6&gt;='Model inputs'!O10,IF(OR('Model inputs'!L6="",'Model inputs'!O10=""),"",'Model inputs'!L6&gt;='Model inputs'!O10))</f>
      </c>
    </row>
    <row r="233">
      <c r="A233" t="inlineStr" s="19">
        <is>
          <t xml:space="preserve">Calculation</t>
        </is>
      </c>
      <c r="B233">
        <f>IF(ISERROR('Model inputs'!M6&gt;='Model inputs'!O10),'Model inputs'!M6&gt;='Model inputs'!O10,IF(OR('Model inputs'!M6="",'Model inputs'!O10=""),"",'Model inputs'!M6&gt;='Model inputs'!O10))</f>
      </c>
    </row>
    <row r="234">
      <c r="A234" t="inlineStr" s="19">
        <is>
          <t xml:space="preserve">Calculation</t>
        </is>
      </c>
      <c r="B234">
        <f>IF(ISERROR('Model inputs'!N6&gt;='Model inputs'!O10),'Model inputs'!N6&gt;='Model inputs'!O10,IF(OR('Model inputs'!N6="",'Model inputs'!O10=""),"",'Model inputs'!N6&gt;='Model inputs'!O10))</f>
      </c>
    </row>
    <row r="235">
      <c r="A235" t="inlineStr" s="19">
        <is>
          <t xml:space="preserve">Calculation</t>
        </is>
      </c>
      <c r="B235">
        <f>IF(ISERROR('Model inputs'!B7&gt;='Model inputs'!O11),'Model inputs'!B7&gt;='Model inputs'!O11,IF(OR('Model inputs'!B7="",'Model inputs'!O11=""),"",'Model inputs'!B7&gt;='Model inputs'!O11))</f>
      </c>
    </row>
    <row r="236">
      <c r="A236" t="inlineStr" s="19">
        <is>
          <t xml:space="preserve">Calculation</t>
        </is>
      </c>
      <c r="B236">
        <f>IF(ISERROR('Model inputs'!B8&gt;='Model inputs'!O12),'Model inputs'!B8&gt;='Model inputs'!O12,IF(OR('Model inputs'!B8="",'Model inputs'!O12=""),"",'Model inputs'!B8&gt;='Model inputs'!O12))</f>
      </c>
    </row>
    <row r="237">
      <c r="A237" t="inlineStr" s="19">
        <is>
          <t xml:space="preserve">Calculation</t>
        </is>
      </c>
      <c r="B237">
        <f>IF(ISERROR('Model inputs'!P100&gt;='Model inputs'!O10),'Model inputs'!P100&gt;='Model inputs'!O10,IF(OR('Model inputs'!P100="",'Model inputs'!O10=""),"",'Model inputs'!P100&gt;='Model inputs'!O10))</f>
      </c>
    </row>
    <row r="238">
      <c r="A238" t="inlineStr" s="19">
        <is>
          <t xml:space="preserve">Calculation</t>
        </is>
      </c>
      <c r="B238">
        <f>IF(ISERROR('Model inputs'!Q100&gt;='Model inputs'!O10),'Model inputs'!Q100&gt;='Model inputs'!O10,IF(OR('Model inputs'!Q100="",'Model inputs'!O10=""),"",'Model inputs'!Q100&gt;='Model inputs'!O10))</f>
      </c>
    </row>
    <row r="239">
      <c r="A239" t="inlineStr" s="19">
        <is>
          <t xml:space="preserve">Calculation</t>
        </is>
      </c>
      <c r="B239">
        <f>IF(ISERROR('Model inputs'!R100&gt;='Model inputs'!O10),'Model inputs'!R100&gt;='Model inputs'!O10,IF(OR('Model inputs'!R100="",'Model inputs'!O10=""),"",'Model inputs'!R100&gt;='Model inputs'!O10))</f>
      </c>
    </row>
    <row r="240">
      <c r="A240" t="inlineStr" s="19">
        <is>
          <t xml:space="preserve">Calculation</t>
        </is>
      </c>
      <c r="B240">
        <f>IF(ISERROR('Model inputs'!S100&gt;='Model inputs'!O10),'Model inputs'!S100&gt;='Model inputs'!O10,IF(OR('Model inputs'!S100="",'Model inputs'!O10=""),"",'Model inputs'!S100&gt;='Model inputs'!O10))</f>
      </c>
    </row>
    <row r="241">
      <c r="A241" t="inlineStr" s="19">
        <is>
          <t xml:space="preserve">Calculation</t>
        </is>
      </c>
      <c r="B241">
        <f>IF(ISERROR('Model inputs'!T100&gt;='Model inputs'!O10),'Model inputs'!T100&gt;='Model inputs'!O10,IF(OR('Model inputs'!T100="",'Model inputs'!O10=""),"",'Model inputs'!T100&gt;='Model inputs'!O10))</f>
      </c>
    </row>
    <row r="242">
      <c r="A242" t="inlineStr" s="19">
        <is>
          <t xml:space="preserve">Calculation</t>
        </is>
      </c>
      <c r="B242">
        <f>IF(ISERROR('Model inputs'!U100&gt;='Model inputs'!O10),'Model inputs'!U100&gt;='Model inputs'!O10,IF(OR('Model inputs'!U100="",'Model inputs'!O10=""),"",'Model inputs'!U100&gt;='Model inputs'!O10))</f>
      </c>
    </row>
    <row r="243">
      <c r="A243" t="inlineStr" s="19">
        <is>
          <t xml:space="preserve">Calculation</t>
        </is>
      </c>
      <c r="B243">
        <f>IF(ISERROR('Model inputs'!V100&gt;='Model inputs'!O10),'Model inputs'!V100&gt;='Model inputs'!O10,IF(OR('Model inputs'!V100="",'Model inputs'!O10=""),"",'Model inputs'!V100&gt;='Model inputs'!O10))</f>
      </c>
    </row>
    <row r="244">
      <c r="A244" t="inlineStr" s="19">
        <is>
          <t xml:space="preserve">Calculation</t>
        </is>
      </c>
      <c r="B244">
        <f>IF(ISERROR('Model inputs'!W100&gt;='Model inputs'!O10),'Model inputs'!W100&gt;='Model inputs'!O10,IF(OR('Model inputs'!W100="",'Model inputs'!O10=""),"",'Model inputs'!W100&gt;='Model inputs'!O10))</f>
      </c>
    </row>
    <row r="245">
      <c r="A245" t="inlineStr" s="19">
        <is>
          <t xml:space="preserve">Calculation</t>
        </is>
      </c>
      <c r="B245">
        <f>IF(ISERROR('Model inputs'!P101&gt;='Model inputs'!O11),'Model inputs'!P101&gt;='Model inputs'!O11,IF(OR('Model inputs'!P101="",'Model inputs'!O11=""),"",'Model inputs'!P101&gt;='Model inputs'!O11))</f>
      </c>
    </row>
    <row r="246">
      <c r="A246" t="inlineStr" s="19">
        <is>
          <t xml:space="preserve">Calculation</t>
        </is>
      </c>
      <c r="B246">
        <f>IF(ISERROR('Model inputs'!Q101&gt;='Model inputs'!O11),'Model inputs'!Q101&gt;='Model inputs'!O11,IF(OR('Model inputs'!Q101="",'Model inputs'!O11=""),"",'Model inputs'!Q101&gt;='Model inputs'!O11))</f>
      </c>
    </row>
    <row r="247">
      <c r="A247" t="inlineStr" s="19">
        <is>
          <t xml:space="preserve">Calculation</t>
        </is>
      </c>
      <c r="B247">
        <f>IF(ISERROR('Model inputs'!R101&gt;='Model inputs'!O11),'Model inputs'!R101&gt;='Model inputs'!O11,IF(OR('Model inputs'!R101="",'Model inputs'!O11=""),"",'Model inputs'!R101&gt;='Model inputs'!O11))</f>
      </c>
    </row>
    <row r="248">
      <c r="A248" t="inlineStr" s="19">
        <is>
          <t xml:space="preserve">Calculation</t>
        </is>
      </c>
      <c r="B248">
        <f>IF(ISERROR('Model inputs'!S101&gt;='Model inputs'!O11),'Model inputs'!S101&gt;='Model inputs'!O11,IF(OR('Model inputs'!S101="",'Model inputs'!O11=""),"",'Model inputs'!S101&gt;='Model inputs'!O11))</f>
      </c>
    </row>
    <row r="249">
      <c r="A249" t="inlineStr" s="19">
        <is>
          <t xml:space="preserve">Calculation</t>
        </is>
      </c>
      <c r="B249">
        <f>IF(ISERROR('Model inputs'!T101&gt;='Model inputs'!O11),'Model inputs'!T101&gt;='Model inputs'!O11,IF(OR('Model inputs'!T101="",'Model inputs'!O11=""),"",'Model inputs'!T101&gt;='Model inputs'!O11))</f>
      </c>
    </row>
    <row r="250">
      <c r="A250" t="inlineStr" s="19">
        <is>
          <t xml:space="preserve">Calculation</t>
        </is>
      </c>
      <c r="B250">
        <f>IF(ISERROR('Model inputs'!U101&gt;='Model inputs'!O11),'Model inputs'!U101&gt;='Model inputs'!O11,IF(OR('Model inputs'!U101="",'Model inputs'!O11=""),"",'Model inputs'!U101&gt;='Model inputs'!O11))</f>
      </c>
    </row>
    <row r="251">
      <c r="A251" t="inlineStr" s="19">
        <is>
          <t xml:space="preserve">Calculation</t>
        </is>
      </c>
      <c r="B251">
        <f>IF(ISERROR('Model inputs'!V101&gt;='Model inputs'!O11),'Model inputs'!V101&gt;='Model inputs'!O11,IF(OR('Model inputs'!V101="",'Model inputs'!O11=""),"",'Model inputs'!V101&gt;='Model inputs'!O11))</f>
      </c>
    </row>
    <row r="252">
      <c r="A252" t="inlineStr" s="19">
        <is>
          <t xml:space="preserve">Calculation</t>
        </is>
      </c>
      <c r="B252">
        <f>IF(ISERROR('Model inputs'!W101&gt;='Model inputs'!O11),'Model inputs'!W101&gt;='Model inputs'!O11,IF(OR('Model inputs'!W101="",'Model inputs'!O11=""),"",'Model inputs'!W101&gt;='Model inputs'!O11))</f>
      </c>
    </row>
    <row r="253">
      <c r="A253" t="inlineStr" s="19">
        <is>
          <t xml:space="preserve">Calculation</t>
        </is>
      </c>
      <c r="B253">
        <f>IF(ISERROR('Model inputs'!P102&gt;='Model inputs'!O12),'Model inputs'!P102&gt;='Model inputs'!O12,IF(OR('Model inputs'!P102="",'Model inputs'!O12=""),"",'Model inputs'!P102&gt;='Model inputs'!O12))</f>
      </c>
    </row>
    <row r="254">
      <c r="A254" t="inlineStr" s="19">
        <is>
          <t xml:space="preserve">Calculation</t>
        </is>
      </c>
      <c r="B254">
        <f>IF(ISERROR('Model inputs'!Q102&gt;='Model inputs'!O12),'Model inputs'!Q102&gt;='Model inputs'!O12,IF(OR('Model inputs'!Q102="",'Model inputs'!O12=""),"",'Model inputs'!Q102&gt;='Model inputs'!O12))</f>
      </c>
    </row>
    <row r="255">
      <c r="A255" t="inlineStr" s="19">
        <is>
          <t xml:space="preserve">Calculation</t>
        </is>
      </c>
      <c r="B255">
        <f>IF(ISERROR('Model inputs'!R102&gt;='Model inputs'!O12),'Model inputs'!R102&gt;='Model inputs'!O12,IF(OR('Model inputs'!R102="",'Model inputs'!O12=""),"",'Model inputs'!R102&gt;='Model inputs'!O12))</f>
      </c>
    </row>
    <row r="256">
      <c r="A256" t="inlineStr" s="19">
        <is>
          <t xml:space="preserve">Calculation</t>
        </is>
      </c>
      <c r="B256">
        <f>IF(ISERROR('Model inputs'!S102&gt;='Model inputs'!O12),'Model inputs'!S102&gt;='Model inputs'!O12,IF(OR('Model inputs'!S102="",'Model inputs'!O12=""),"",'Model inputs'!S102&gt;='Model inputs'!O12))</f>
      </c>
    </row>
    <row r="257">
      <c r="A257" t="inlineStr" s="19">
        <is>
          <t xml:space="preserve">Calculation</t>
        </is>
      </c>
      <c r="B257">
        <f>IF(ISERROR('Model inputs'!T102&gt;='Model inputs'!O12),'Model inputs'!T102&gt;='Model inputs'!O12,IF(OR('Model inputs'!T102="",'Model inputs'!O12=""),"",'Model inputs'!T102&gt;='Model inputs'!O12))</f>
      </c>
    </row>
    <row r="258">
      <c r="A258" t="inlineStr" s="19">
        <is>
          <t xml:space="preserve">Calculation</t>
        </is>
      </c>
      <c r="B258">
        <f>IF(ISERROR('Model inputs'!U102&gt;='Model inputs'!O12),'Model inputs'!U102&gt;='Model inputs'!O12,IF(OR('Model inputs'!U102="",'Model inputs'!O12=""),"",'Model inputs'!U102&gt;='Model inputs'!O12))</f>
      </c>
    </row>
    <row r="259">
      <c r="A259" t="inlineStr" s="19">
        <is>
          <t xml:space="preserve">Calculation</t>
        </is>
      </c>
      <c r="B259">
        <f>IF(ISERROR('Model inputs'!V102&gt;='Model inputs'!O12),'Model inputs'!V102&gt;='Model inputs'!O12,IF(OR('Model inputs'!V102="",'Model inputs'!O12=""),"",'Model inputs'!V102&gt;='Model inputs'!O12))</f>
      </c>
    </row>
    <row r="260">
      <c r="A260" t="inlineStr" s="19">
        <is>
          <t xml:space="preserve">Calculation</t>
        </is>
      </c>
      <c r="B260">
        <f>IF(ISERROR('Model inputs'!W102&gt;='Model inputs'!O12),'Model inputs'!W102&gt;='Model inputs'!O12,IF(OR('Model inputs'!W102="",'Model inputs'!O12=""),"",'Model inputs'!W102&gt;='Model inputs'!O12))</f>
      </c>
    </row>
  </sheetData>
  <mergeCells count="2">
    <mergeCell ref="A1:W1"/>
    <mergeCell ref="A2:W2"/>
  </mergeCells>
</worksheet>
</file>